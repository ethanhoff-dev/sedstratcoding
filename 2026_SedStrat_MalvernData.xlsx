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hanhoff/Documents/School/FA26/GEO 3550/Lab 3/Malvern Data/"/>
    </mc:Choice>
  </mc:AlternateContent>
  <xr:revisionPtr revIDLastSave="0" documentId="13_ncr:9_{0D8421CB-34BD-F447-830D-C49A56B0F5ED}" xr6:coauthVersionLast="47" xr6:coauthVersionMax="47" xr10:uidLastSave="{00000000-0000-0000-0000-000000000000}"/>
  <bookViews>
    <workbookView xWindow="0" yWindow="660" windowWidth="30240" windowHeight="18980" xr2:uid="{8717AA19-5410-4E32-A579-1CB09D5ACCCA}"/>
  </bookViews>
  <sheets>
    <sheet name="2026_SedStrat_Malver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13" i="1" l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Z6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</calcChain>
</file>

<file path=xl/sharedStrings.xml><?xml version="1.0" encoding="utf-8"?>
<sst xmlns="http://schemas.openxmlformats.org/spreadsheetml/2006/main" count="195" uniqueCount="65">
  <si>
    <t>Sample Name</t>
  </si>
  <si>
    <t>Sample source type</t>
  </si>
  <si>
    <t>Sample bulk lot ref</t>
  </si>
  <si>
    <t>SOP Name</t>
  </si>
  <si>
    <t>Operator name</t>
  </si>
  <si>
    <t>Measurement date and time</t>
  </si>
  <si>
    <t>Analysis date and time</t>
  </si>
  <si>
    <t>Particle name</t>
  </si>
  <si>
    <t>Particle refractive index</t>
  </si>
  <si>
    <t>Particle absorption index</t>
  </si>
  <si>
    <t>Dispersant name</t>
  </si>
  <si>
    <t>Dispersant refractive index</t>
  </si>
  <si>
    <t>Accessory name</t>
  </si>
  <si>
    <t xml:space="preserve">Analysis model </t>
  </si>
  <si>
    <t>Start result channel size</t>
  </si>
  <si>
    <t>Last result channel size</t>
  </si>
  <si>
    <t>Result emulation</t>
  </si>
  <si>
    <t>Obscuration</t>
  </si>
  <si>
    <t>Residual</t>
  </si>
  <si>
    <t>Concentration</t>
  </si>
  <si>
    <t>Span</t>
  </si>
  <si>
    <t>Result transform type</t>
  </si>
  <si>
    <t>D [4, 3] - Volume weighted mean</t>
  </si>
  <si>
    <t>Uniformity</t>
  </si>
  <si>
    <t>Specific surface area</t>
  </si>
  <si>
    <t xml:space="preserve">D [3, 2] - Surface weighted mean </t>
  </si>
  <si>
    <t>d (0.1)</t>
  </si>
  <si>
    <t>d (0.5)</t>
  </si>
  <si>
    <t>d (0.9)</t>
  </si>
  <si>
    <t>Result Between User Sizes (Sizes in um)</t>
  </si>
  <si>
    <t>Operator Notes</t>
  </si>
  <si>
    <t>SedStrat2026Group2</t>
  </si>
  <si>
    <t>Silt SOP 3 times</t>
  </si>
  <si>
    <t>Malvern_User</t>
  </si>
  <si>
    <t>Thursday, September 17, 2026 1:11:54 PM</t>
  </si>
  <si>
    <t>Thursday, September 17, 2026 1:11:55 PM</t>
  </si>
  <si>
    <t>silt</t>
  </si>
  <si>
    <t>Water</t>
  </si>
  <si>
    <t>Hydro 2000MU (A)</t>
  </si>
  <si>
    <t>General purpose</t>
  </si>
  <si>
    <t>Off</t>
  </si>
  <si>
    <t>Volume</t>
  </si>
  <si>
    <t>Thursday, September 17, 2026 1:12:32 PM</t>
  </si>
  <si>
    <t>Thursday, September 17, 2026 1:12:33 PM</t>
  </si>
  <si>
    <t>Thursday, September 17, 2026 1:13:10 PM</t>
  </si>
  <si>
    <t>Thursday, September 17, 2026 1:13:11 PM</t>
  </si>
  <si>
    <t>SedStrat2026Group3</t>
  </si>
  <si>
    <t>Dirt SOP 3 times</t>
  </si>
  <si>
    <t>Thursday, September 17, 2026 1:24:55 PM</t>
  </si>
  <si>
    <t>Thursday, September 17, 2026 1:24:56 PM</t>
  </si>
  <si>
    <t>Dirt</t>
  </si>
  <si>
    <t>Thursday, September 17, 2026 1:25:32 PM</t>
  </si>
  <si>
    <t>Thursday, September 17, 2026 1:25:34 PM</t>
  </si>
  <si>
    <t>Thursday, September 17, 2026 1:26:10 PM</t>
  </si>
  <si>
    <t>Thursday, September 17, 2026 1:26:11 PM</t>
  </si>
  <si>
    <t>2026SedStratGroup1</t>
  </si>
  <si>
    <t>Thursday, September 17, 2026 1:51:36 PM</t>
  </si>
  <si>
    <t>Thursday, September 17, 2026 1:51:37 PM</t>
  </si>
  <si>
    <t>Thursday, September 17, 2026 1:52:14 PM</t>
  </si>
  <si>
    <t>Thursday, September 17, 2026 1:52:15 PM</t>
  </si>
  <si>
    <t>Thursday, September 17, 2026 1:52:52 PM</t>
  </si>
  <si>
    <t>Thursday, September 17, 2026 1:52:53 PM</t>
  </si>
  <si>
    <t>AVERAGE GROUP 2</t>
  </si>
  <si>
    <t>AVERAGE GROUP 3</t>
  </si>
  <si>
    <t>AVERAGE GROUP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</si>
</sst>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B74E-EC67-4E2F-B206-20D64058FCFC}">
  <dimension ref="A1:EA20"/>
  <sheetViews>
    <sheetView tabSelected="1" topLeftCell="CX1" workbookViewId="0">
      <selection activeCell="DJ6" sqref="DJ6:DY6"/>
    </sheetView>
  </sheetViews>
  <sheetFormatPr baseColWidth="10" defaultColWidth="8.83203125" defaultRowHeight="15" x14ac:dyDescent="0.2"/>
  <sheetData>
    <row r="1" spans="1:1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EA1" t="s">
        <v>30</v>
      </c>
    </row>
    <row r="2" spans="1:131" x14ac:dyDescent="0.2">
      <c r="AD2">
        <v>0.01</v>
      </c>
      <c r="AE2">
        <v>1.1481999999999999E-2</v>
      </c>
      <c r="AF2">
        <v>1.3183E-2</v>
      </c>
      <c r="AG2">
        <v>1.5136E-2</v>
      </c>
      <c r="AH2">
        <v>1.7378000000000001E-2</v>
      </c>
      <c r="AI2">
        <v>1.9952999999999999E-2</v>
      </c>
      <c r="AJ2">
        <v>2.2908999999999999E-2</v>
      </c>
      <c r="AK2">
        <v>2.6303E-2</v>
      </c>
      <c r="AL2">
        <v>3.0200000000000001E-2</v>
      </c>
      <c r="AM2">
        <v>3.4674000000000003E-2</v>
      </c>
      <c r="AN2">
        <v>3.9810999999999999E-2</v>
      </c>
      <c r="AO2">
        <v>4.5709E-2</v>
      </c>
      <c r="AP2">
        <v>5.2481E-2</v>
      </c>
      <c r="AQ2">
        <v>6.0255999999999997E-2</v>
      </c>
      <c r="AR2">
        <v>6.9182999999999995E-2</v>
      </c>
      <c r="AS2">
        <v>7.9433000000000004E-2</v>
      </c>
      <c r="AT2">
        <v>9.1201000000000004E-2</v>
      </c>
      <c r="AU2">
        <v>0.104713</v>
      </c>
      <c r="AV2">
        <v>0.120226</v>
      </c>
      <c r="AW2">
        <v>0.13803799999999999</v>
      </c>
      <c r="AX2">
        <v>0.15848899999999999</v>
      </c>
      <c r="AY2">
        <v>0.18196999999999999</v>
      </c>
      <c r="AZ2">
        <v>0.20893</v>
      </c>
      <c r="BA2">
        <v>0.23988300000000001</v>
      </c>
      <c r="BB2">
        <v>0.27542299999999997</v>
      </c>
      <c r="BC2">
        <v>0.31622800000000001</v>
      </c>
      <c r="BD2">
        <v>0.36307800000000001</v>
      </c>
      <c r="BE2">
        <v>0.41686899999999999</v>
      </c>
      <c r="BF2">
        <v>0.47863</v>
      </c>
      <c r="BG2">
        <v>0.54954099999999995</v>
      </c>
      <c r="BH2">
        <v>0.63095699999999999</v>
      </c>
      <c r="BI2">
        <v>0.72443599999999997</v>
      </c>
      <c r="BJ2">
        <v>0.83176399999999995</v>
      </c>
      <c r="BK2">
        <v>0.95499299999999998</v>
      </c>
      <c r="BL2">
        <v>1.0964780000000001</v>
      </c>
      <c r="BM2">
        <v>1.2589250000000001</v>
      </c>
      <c r="BN2">
        <v>1.4454400000000001</v>
      </c>
      <c r="BO2">
        <v>1.6595869999999999</v>
      </c>
      <c r="BP2">
        <v>1.9054610000000001</v>
      </c>
      <c r="BQ2">
        <v>2.1877620000000002</v>
      </c>
      <c r="BR2">
        <v>2.5118860000000001</v>
      </c>
      <c r="BS2">
        <v>2.8840309999999998</v>
      </c>
      <c r="BT2">
        <v>3.3113109999999999</v>
      </c>
      <c r="BU2">
        <v>3.8018939999999999</v>
      </c>
      <c r="BV2">
        <v>4.3651580000000001</v>
      </c>
      <c r="BW2">
        <v>5.0118720000000003</v>
      </c>
      <c r="BX2">
        <v>5.7543990000000003</v>
      </c>
      <c r="BY2">
        <v>6.6069339999999999</v>
      </c>
      <c r="BZ2">
        <v>7.5857760000000001</v>
      </c>
      <c r="CA2">
        <v>8.7096359999999997</v>
      </c>
      <c r="CB2">
        <v>10</v>
      </c>
      <c r="CC2">
        <v>11.481536</v>
      </c>
      <c r="CD2">
        <v>13.182567000000001</v>
      </c>
      <c r="CE2">
        <v>15.135612</v>
      </c>
      <c r="CF2">
        <v>17.378008000000001</v>
      </c>
      <c r="CG2">
        <v>19.952622999999999</v>
      </c>
      <c r="CH2">
        <v>22.908677000000001</v>
      </c>
      <c r="CI2">
        <v>26.302679999999999</v>
      </c>
      <c r="CJ2">
        <v>30.199517</v>
      </c>
      <c r="CK2">
        <v>34.673684999999999</v>
      </c>
      <c r="CL2">
        <v>39.810716999999997</v>
      </c>
      <c r="CM2">
        <v>45.708818999999998</v>
      </c>
      <c r="CN2">
        <v>52.480746000000003</v>
      </c>
      <c r="CO2">
        <v>60.255958999999997</v>
      </c>
      <c r="CP2">
        <v>69.183097000000004</v>
      </c>
      <c r="CQ2">
        <v>79.432822999999999</v>
      </c>
      <c r="CR2">
        <v>91.201083999999994</v>
      </c>
      <c r="CS2">
        <v>104.712855</v>
      </c>
      <c r="CT2">
        <v>120.226443</v>
      </c>
      <c r="CU2">
        <v>138.03842599999999</v>
      </c>
      <c r="CV2">
        <v>158.48931899999999</v>
      </c>
      <c r="CW2">
        <v>181.97008600000001</v>
      </c>
      <c r="CX2">
        <v>208.92961299999999</v>
      </c>
      <c r="CY2">
        <v>239.88329200000001</v>
      </c>
      <c r="CZ2">
        <v>275.42286999999999</v>
      </c>
      <c r="DA2">
        <v>316.22776599999997</v>
      </c>
      <c r="DB2">
        <v>363.07805500000001</v>
      </c>
      <c r="DC2">
        <v>416.86938300000003</v>
      </c>
      <c r="DD2">
        <v>478.63009199999999</v>
      </c>
      <c r="DE2">
        <v>549.54087400000003</v>
      </c>
      <c r="DF2">
        <v>630.95734400000003</v>
      </c>
      <c r="DG2">
        <v>724.43596000000002</v>
      </c>
      <c r="DH2">
        <v>831.76377100000002</v>
      </c>
      <c r="DI2">
        <v>954.99258599999996</v>
      </c>
      <c r="DJ2">
        <v>1096.478196</v>
      </c>
      <c r="DK2">
        <v>1258.9254120000001</v>
      </c>
      <c r="DL2">
        <v>1445.4397710000001</v>
      </c>
      <c r="DM2">
        <v>1659.5869070000001</v>
      </c>
      <c r="DN2">
        <v>1905.460718</v>
      </c>
      <c r="DO2">
        <v>2187.7616240000002</v>
      </c>
      <c r="DP2">
        <v>2511.8864319999998</v>
      </c>
      <c r="DQ2">
        <v>2884.0315030000002</v>
      </c>
      <c r="DR2">
        <v>3311.3112150000002</v>
      </c>
      <c r="DS2">
        <v>3801.893963</v>
      </c>
      <c r="DT2">
        <v>4365.1583220000002</v>
      </c>
      <c r="DU2">
        <v>5011.8723360000004</v>
      </c>
      <c r="DV2">
        <v>5754.3993730000002</v>
      </c>
      <c r="DW2">
        <v>6606.9344799999999</v>
      </c>
      <c r="DX2">
        <v>7585.7757499999998</v>
      </c>
      <c r="DY2">
        <v>8709.6358999999993</v>
      </c>
      <c r="DZ2">
        <v>10000</v>
      </c>
    </row>
    <row r="3" spans="1:131" x14ac:dyDescent="0.2">
      <c r="A3" t="s">
        <v>55</v>
      </c>
      <c r="D3" t="s">
        <v>47</v>
      </c>
      <c r="E3" t="s">
        <v>33</v>
      </c>
      <c r="F3" t="s">
        <v>56</v>
      </c>
      <c r="G3" t="s">
        <v>57</v>
      </c>
      <c r="H3" t="s">
        <v>50</v>
      </c>
      <c r="I3">
        <v>1.56</v>
      </c>
      <c r="J3">
        <v>0.1</v>
      </c>
      <c r="K3" t="s">
        <v>37</v>
      </c>
      <c r="L3">
        <v>1.33</v>
      </c>
      <c r="M3" t="s">
        <v>38</v>
      </c>
      <c r="N3" t="s">
        <v>39</v>
      </c>
      <c r="O3">
        <v>0.1</v>
      </c>
      <c r="P3">
        <v>1000</v>
      </c>
      <c r="Q3" t="s">
        <v>40</v>
      </c>
      <c r="R3">
        <v>9.11</v>
      </c>
      <c r="S3">
        <v>1.2829999999999999</v>
      </c>
      <c r="T3">
        <v>1.14E-2</v>
      </c>
      <c r="U3">
        <v>4.71</v>
      </c>
      <c r="V3" t="s">
        <v>41</v>
      </c>
      <c r="W3">
        <v>69.38</v>
      </c>
      <c r="X3">
        <v>1.8</v>
      </c>
      <c r="Y3">
        <v>0.70499999999999996</v>
      </c>
      <c r="Z3">
        <v>8.51</v>
      </c>
      <c r="AA3">
        <v>3.617</v>
      </c>
      <c r="AB3">
        <v>31.283999999999999</v>
      </c>
      <c r="AC3">
        <v>150.96199999999999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0.222356</v>
      </c>
      <c r="BH3">
        <v>0.423489</v>
      </c>
      <c r="BI3">
        <v>0.52540699999999996</v>
      </c>
      <c r="BJ3">
        <v>0.59985999999999995</v>
      </c>
      <c r="BK3">
        <v>0.61881600000000003</v>
      </c>
      <c r="BL3">
        <v>0.61102100000000004</v>
      </c>
      <c r="BM3">
        <v>0.59554300000000004</v>
      </c>
      <c r="BN3">
        <v>0.59644900000000001</v>
      </c>
      <c r="BO3">
        <v>0.62820699999999996</v>
      </c>
      <c r="BP3">
        <v>0.69293099999999996</v>
      </c>
      <c r="BQ3">
        <v>0.780864</v>
      </c>
      <c r="BR3">
        <v>0.88075700000000001</v>
      </c>
      <c r="BS3">
        <v>0.98505100000000001</v>
      </c>
      <c r="BT3">
        <v>1.089561</v>
      </c>
      <c r="BU3">
        <v>1.1926540000000001</v>
      </c>
      <c r="BV3">
        <v>1.294678</v>
      </c>
      <c r="BW3">
        <v>1.4004209999999999</v>
      </c>
      <c r="BX3">
        <v>1.514049</v>
      </c>
      <c r="BY3">
        <v>1.644622</v>
      </c>
      <c r="BZ3">
        <v>1.7961400000000001</v>
      </c>
      <c r="CA3">
        <v>1.977481</v>
      </c>
      <c r="CB3">
        <v>2.1858179999999998</v>
      </c>
      <c r="CC3">
        <v>2.4256709999999999</v>
      </c>
      <c r="CD3">
        <v>2.6835870000000002</v>
      </c>
      <c r="CE3">
        <v>2.9579949999999999</v>
      </c>
      <c r="CF3">
        <v>3.2309540000000001</v>
      </c>
      <c r="CG3">
        <v>3.4982660000000001</v>
      </c>
      <c r="CH3">
        <v>3.7449439999999998</v>
      </c>
      <c r="CI3">
        <v>3.966526</v>
      </c>
      <c r="CJ3">
        <v>4.1513580000000001</v>
      </c>
      <c r="CK3">
        <v>4.2920049999999996</v>
      </c>
      <c r="CL3">
        <v>4.3765390000000002</v>
      </c>
      <c r="CM3">
        <v>4.3939779999999997</v>
      </c>
      <c r="CN3">
        <v>4.3337709999999996</v>
      </c>
      <c r="CO3">
        <v>4.1893250000000002</v>
      </c>
      <c r="CP3">
        <v>3.9597600000000002</v>
      </c>
      <c r="CQ3">
        <v>3.6556289999999998</v>
      </c>
      <c r="CR3">
        <v>3.289965</v>
      </c>
      <c r="CS3">
        <v>2.8908740000000002</v>
      </c>
      <c r="CT3">
        <v>2.4762900000000001</v>
      </c>
      <c r="CU3">
        <v>2.0792760000000001</v>
      </c>
      <c r="CV3">
        <v>1.7115959999999999</v>
      </c>
      <c r="CW3">
        <v>1.398887</v>
      </c>
      <c r="CX3">
        <v>1.1406970000000001</v>
      </c>
      <c r="CY3">
        <v>0.94679199999999997</v>
      </c>
      <c r="CZ3">
        <v>0.80635999999999997</v>
      </c>
      <c r="DA3">
        <v>0.71502699999999997</v>
      </c>
      <c r="DB3">
        <v>0.66099799999999997</v>
      </c>
      <c r="DC3">
        <v>0.634436</v>
      </c>
      <c r="DD3">
        <v>0.62187400000000004</v>
      </c>
      <c r="DE3">
        <v>0.60852200000000001</v>
      </c>
      <c r="DF3">
        <v>0.57996199999999998</v>
      </c>
      <c r="DG3">
        <v>0.53179699999999996</v>
      </c>
      <c r="DH3">
        <v>0.45656799999999997</v>
      </c>
      <c r="DI3">
        <v>0.333594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</row>
    <row r="4" spans="1:131" x14ac:dyDescent="0.2">
      <c r="A4" t="s">
        <v>55</v>
      </c>
      <c r="D4" t="s">
        <v>47</v>
      </c>
      <c r="E4" t="s">
        <v>33</v>
      </c>
      <c r="F4" t="s">
        <v>58</v>
      </c>
      <c r="G4" t="s">
        <v>59</v>
      </c>
      <c r="H4" t="s">
        <v>50</v>
      </c>
      <c r="I4">
        <v>1.56</v>
      </c>
      <c r="J4">
        <v>0.1</v>
      </c>
      <c r="K4" t="s">
        <v>37</v>
      </c>
      <c r="L4">
        <v>1.33</v>
      </c>
      <c r="M4" t="s">
        <v>38</v>
      </c>
      <c r="N4" t="s">
        <v>39</v>
      </c>
      <c r="O4">
        <v>0.1</v>
      </c>
      <c r="P4">
        <v>1000</v>
      </c>
      <c r="Q4" t="s">
        <v>40</v>
      </c>
      <c r="R4">
        <v>8.9499999999999993</v>
      </c>
      <c r="S4">
        <v>1.2769999999999999</v>
      </c>
      <c r="T4">
        <v>1.12E-2</v>
      </c>
      <c r="U4">
        <v>4.617</v>
      </c>
      <c r="V4" t="s">
        <v>41</v>
      </c>
      <c r="W4">
        <v>65.918999999999997</v>
      </c>
      <c r="X4">
        <v>1.71</v>
      </c>
      <c r="Y4">
        <v>0.70499999999999996</v>
      </c>
      <c r="Z4">
        <v>8.5120000000000005</v>
      </c>
      <c r="AA4">
        <v>3.6309999999999998</v>
      </c>
      <c r="AB4">
        <v>30.943999999999999</v>
      </c>
      <c r="AC4">
        <v>146.50200000000001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0.219528</v>
      </c>
      <c r="BH4">
        <v>0.420543</v>
      </c>
      <c r="BI4">
        <v>0.52326600000000001</v>
      </c>
      <c r="BJ4">
        <v>0.59769399999999995</v>
      </c>
      <c r="BK4">
        <v>0.61657300000000004</v>
      </c>
      <c r="BL4">
        <v>0.60845700000000003</v>
      </c>
      <c r="BM4">
        <v>0.59263600000000005</v>
      </c>
      <c r="BN4">
        <v>0.59327700000000005</v>
      </c>
      <c r="BO4">
        <v>0.62495599999999996</v>
      </c>
      <c r="BP4">
        <v>0.68981899999999996</v>
      </c>
      <c r="BQ4">
        <v>0.77810000000000001</v>
      </c>
      <c r="BR4">
        <v>0.87854299999999996</v>
      </c>
      <c r="BS4">
        <v>0.98360499999999995</v>
      </c>
      <c r="BT4">
        <v>1.0891219999999999</v>
      </c>
      <c r="BU4">
        <v>1.1935</v>
      </c>
      <c r="BV4">
        <v>1.297123</v>
      </c>
      <c r="BW4">
        <v>1.404847</v>
      </c>
      <c r="BX4">
        <v>1.52085</v>
      </c>
      <c r="BY4">
        <v>1.6542460000000001</v>
      </c>
      <c r="BZ4">
        <v>1.808954</v>
      </c>
      <c r="CA4">
        <v>1.9938800000000001</v>
      </c>
      <c r="CB4">
        <v>2.2060409999999999</v>
      </c>
      <c r="CC4">
        <v>2.4499960000000001</v>
      </c>
      <c r="CD4">
        <v>2.7120690000000001</v>
      </c>
      <c r="CE4">
        <v>2.9906830000000002</v>
      </c>
      <c r="CF4">
        <v>3.2675920000000001</v>
      </c>
      <c r="CG4">
        <v>3.5383779999999998</v>
      </c>
      <c r="CH4">
        <v>3.7875100000000002</v>
      </c>
      <c r="CI4">
        <v>4.0099609999999997</v>
      </c>
      <c r="CJ4">
        <v>4.1934610000000001</v>
      </c>
      <c r="CK4">
        <v>4.3301030000000003</v>
      </c>
      <c r="CL4">
        <v>4.4078280000000003</v>
      </c>
      <c r="CM4">
        <v>4.4159410000000001</v>
      </c>
      <c r="CN4">
        <v>4.3447789999999999</v>
      </c>
      <c r="CO4">
        <v>4.1891800000000003</v>
      </c>
      <c r="CP4">
        <v>3.9499520000000001</v>
      </c>
      <c r="CQ4">
        <v>3.6393610000000001</v>
      </c>
      <c r="CR4">
        <v>3.2715649999999998</v>
      </c>
      <c r="CS4">
        <v>2.8751329999999999</v>
      </c>
      <c r="CT4">
        <v>2.467581</v>
      </c>
      <c r="CU4">
        <v>2.0805769999999999</v>
      </c>
      <c r="CV4">
        <v>1.7244870000000001</v>
      </c>
      <c r="CW4">
        <v>1.4230100000000001</v>
      </c>
      <c r="CX4">
        <v>1.1745559999999999</v>
      </c>
      <c r="CY4">
        <v>0.987209</v>
      </c>
      <c r="CZ4">
        <v>0.84862400000000004</v>
      </c>
      <c r="DA4">
        <v>0.75224899999999995</v>
      </c>
      <c r="DB4">
        <v>0.68420499999999995</v>
      </c>
      <c r="DC4">
        <v>0.63418699999999995</v>
      </c>
      <c r="DD4">
        <v>0.589974</v>
      </c>
      <c r="DE4">
        <v>0.54134300000000002</v>
      </c>
      <c r="DF4">
        <v>0.47978100000000001</v>
      </c>
      <c r="DG4">
        <v>0.40672199999999997</v>
      </c>
      <c r="DH4">
        <v>0.32042799999999999</v>
      </c>
      <c r="DI4">
        <v>0.21601500000000001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</row>
    <row r="5" spans="1:131" x14ac:dyDescent="0.2">
      <c r="A5" t="s">
        <v>55</v>
      </c>
      <c r="D5" t="s">
        <v>47</v>
      </c>
      <c r="E5" t="s">
        <v>33</v>
      </c>
      <c r="F5" t="s">
        <v>60</v>
      </c>
      <c r="G5" t="s">
        <v>61</v>
      </c>
      <c r="H5" t="s">
        <v>50</v>
      </c>
      <c r="I5">
        <v>1.56</v>
      </c>
      <c r="J5">
        <v>0.1</v>
      </c>
      <c r="K5" t="s">
        <v>37</v>
      </c>
      <c r="L5">
        <v>1.33</v>
      </c>
      <c r="M5" t="s">
        <v>38</v>
      </c>
      <c r="N5" t="s">
        <v>39</v>
      </c>
      <c r="O5">
        <v>0.1</v>
      </c>
      <c r="P5">
        <v>1000</v>
      </c>
      <c r="Q5" t="s">
        <v>40</v>
      </c>
      <c r="R5">
        <v>8.84</v>
      </c>
      <c r="S5">
        <v>1.2729999999999999</v>
      </c>
      <c r="T5">
        <v>1.12E-2</v>
      </c>
      <c r="U5">
        <v>4.6740000000000004</v>
      </c>
      <c r="V5" t="s">
        <v>41</v>
      </c>
      <c r="W5">
        <v>69.650000000000006</v>
      </c>
      <c r="X5">
        <v>1.82</v>
      </c>
      <c r="Y5">
        <v>0.69899999999999995</v>
      </c>
      <c r="Z5">
        <v>8.5890000000000004</v>
      </c>
      <c r="AA5">
        <v>3.6779999999999999</v>
      </c>
      <c r="AB5">
        <v>31.167000000000002</v>
      </c>
      <c r="AC5">
        <v>149.35599999999999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0.215228</v>
      </c>
      <c r="BH5">
        <v>0.41426800000000003</v>
      </c>
      <c r="BI5">
        <v>0.51672799999999997</v>
      </c>
      <c r="BJ5">
        <v>0.59057099999999996</v>
      </c>
      <c r="BK5">
        <v>0.60939399999999999</v>
      </c>
      <c r="BL5">
        <v>0.60131199999999996</v>
      </c>
      <c r="BM5">
        <v>0.58557400000000004</v>
      </c>
      <c r="BN5">
        <v>0.58616500000000005</v>
      </c>
      <c r="BO5">
        <v>0.61757300000000004</v>
      </c>
      <c r="BP5">
        <v>0.68193300000000001</v>
      </c>
      <c r="BQ5">
        <v>0.76955899999999999</v>
      </c>
      <c r="BR5">
        <v>0.869313</v>
      </c>
      <c r="BS5">
        <v>0.97378699999999996</v>
      </c>
      <c r="BT5">
        <v>1.078938</v>
      </c>
      <c r="BU5">
        <v>1.1832499999999999</v>
      </c>
      <c r="BV5">
        <v>1.2871170000000001</v>
      </c>
      <c r="BW5">
        <v>1.3953720000000001</v>
      </c>
      <c r="BX5">
        <v>1.5121290000000001</v>
      </c>
      <c r="BY5">
        <v>1.6464570000000001</v>
      </c>
      <c r="BZ5">
        <v>1.8022039999999999</v>
      </c>
      <c r="CA5">
        <v>1.9882310000000001</v>
      </c>
      <c r="CB5">
        <v>2.201416</v>
      </c>
      <c r="CC5">
        <v>2.4461940000000002</v>
      </c>
      <c r="CD5">
        <v>2.7086790000000001</v>
      </c>
      <c r="CE5">
        <v>2.9871289999999999</v>
      </c>
      <c r="CF5">
        <v>3.2631730000000001</v>
      </c>
      <c r="CG5">
        <v>3.5323560000000001</v>
      </c>
      <c r="CH5">
        <v>3.7793619999999999</v>
      </c>
      <c r="CI5">
        <v>3.9996049999999999</v>
      </c>
      <c r="CJ5">
        <v>4.1815740000000003</v>
      </c>
      <c r="CK5">
        <v>4.3181779999999996</v>
      </c>
      <c r="CL5">
        <v>4.397983</v>
      </c>
      <c r="CM5">
        <v>4.4104330000000003</v>
      </c>
      <c r="CN5">
        <v>4.3453480000000004</v>
      </c>
      <c r="CO5">
        <v>4.1964009999999998</v>
      </c>
      <c r="CP5">
        <v>3.962831</v>
      </c>
      <c r="CQ5">
        <v>3.6551070000000001</v>
      </c>
      <c r="CR5">
        <v>3.2858239999999999</v>
      </c>
      <c r="CS5">
        <v>2.8824890000000001</v>
      </c>
      <c r="CT5">
        <v>2.4621360000000001</v>
      </c>
      <c r="CU5">
        <v>2.0573540000000001</v>
      </c>
      <c r="CV5">
        <v>1.6799109999999999</v>
      </c>
      <c r="CW5">
        <v>1.357251</v>
      </c>
      <c r="CX5">
        <v>1.091507</v>
      </c>
      <c r="CY5">
        <v>0.89571999999999996</v>
      </c>
      <c r="CZ5">
        <v>0.76064699999999996</v>
      </c>
      <c r="DA5">
        <v>0.68095000000000006</v>
      </c>
      <c r="DB5">
        <v>0.64222699999999999</v>
      </c>
      <c r="DC5">
        <v>0.63103600000000004</v>
      </c>
      <c r="DD5">
        <v>0.63166100000000003</v>
      </c>
      <c r="DE5">
        <v>0.62800299999999998</v>
      </c>
      <c r="DF5">
        <v>0.60545300000000002</v>
      </c>
      <c r="DG5">
        <v>0.55973499999999998</v>
      </c>
      <c r="DH5">
        <v>0.48316799999999999</v>
      </c>
      <c r="DI5">
        <v>0.35405500000000001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</row>
    <row r="6" spans="1:131" x14ac:dyDescent="0.2">
      <c r="A6" t="s">
        <v>64</v>
      </c>
      <c r="BG6">
        <f t="shared" ref="AF6:CQ6" si="0">AVERAGE(BG3:BG5)</f>
        <v>0.21903733333333333</v>
      </c>
      <c r="BH6">
        <f t="shared" si="0"/>
        <v>0.41943333333333332</v>
      </c>
      <c r="BI6">
        <f t="shared" si="0"/>
        <v>0.52180033333333331</v>
      </c>
      <c r="BJ6">
        <f t="shared" si="0"/>
        <v>0.59604166666666658</v>
      </c>
      <c r="BK6">
        <f t="shared" si="0"/>
        <v>0.61492766666666665</v>
      </c>
      <c r="BL6">
        <f t="shared" si="0"/>
        <v>0.60693000000000008</v>
      </c>
      <c r="BM6">
        <f t="shared" si="0"/>
        <v>0.59125100000000008</v>
      </c>
      <c r="BN6">
        <f t="shared" si="0"/>
        <v>0.59196366666666667</v>
      </c>
      <c r="BO6">
        <f t="shared" si="0"/>
        <v>0.62357866666666661</v>
      </c>
      <c r="BP6">
        <f t="shared" si="0"/>
        <v>0.68822766666666668</v>
      </c>
      <c r="BQ6">
        <f t="shared" si="0"/>
        <v>0.77617433333333341</v>
      </c>
      <c r="BR6">
        <f t="shared" si="0"/>
        <v>0.87620433333333336</v>
      </c>
      <c r="BS6">
        <f t="shared" si="0"/>
        <v>0.98081433333333334</v>
      </c>
      <c r="BT6">
        <f t="shared" si="0"/>
        <v>1.0858736666666666</v>
      </c>
      <c r="BU6">
        <f t="shared" si="0"/>
        <v>1.1898013333333335</v>
      </c>
      <c r="BV6">
        <f t="shared" si="0"/>
        <v>1.2929726666666668</v>
      </c>
      <c r="BW6">
        <f t="shared" si="0"/>
        <v>1.4002133333333333</v>
      </c>
      <c r="BX6">
        <f t="shared" si="0"/>
        <v>1.515676</v>
      </c>
      <c r="BY6">
        <f t="shared" si="0"/>
        <v>1.6484416666666668</v>
      </c>
      <c r="BZ6">
        <f t="shared" si="0"/>
        <v>1.8024326666666666</v>
      </c>
      <c r="CA6">
        <f t="shared" si="0"/>
        <v>1.9865306666666667</v>
      </c>
      <c r="CB6">
        <f t="shared" si="0"/>
        <v>2.1977583333333333</v>
      </c>
      <c r="CC6">
        <f t="shared" si="0"/>
        <v>2.4406203333333334</v>
      </c>
      <c r="CD6">
        <f t="shared" si="0"/>
        <v>2.7014450000000001</v>
      </c>
      <c r="CE6">
        <f t="shared" si="0"/>
        <v>2.9786023333333334</v>
      </c>
      <c r="CF6">
        <f t="shared" si="0"/>
        <v>3.2539063333333331</v>
      </c>
      <c r="CG6">
        <f t="shared" si="0"/>
        <v>3.5229999999999997</v>
      </c>
      <c r="CH6">
        <f t="shared" si="0"/>
        <v>3.7706053333333336</v>
      </c>
      <c r="CI6">
        <f t="shared" si="0"/>
        <v>3.9920306666666665</v>
      </c>
      <c r="CJ6">
        <f t="shared" si="0"/>
        <v>4.1754643333333341</v>
      </c>
      <c r="CK6">
        <f t="shared" si="0"/>
        <v>4.3134286666666668</v>
      </c>
      <c r="CL6">
        <f t="shared" si="0"/>
        <v>4.3941166666666662</v>
      </c>
      <c r="CM6">
        <f t="shared" si="0"/>
        <v>4.4067840000000009</v>
      </c>
      <c r="CN6">
        <f t="shared" si="0"/>
        <v>4.3412993333333327</v>
      </c>
      <c r="CO6">
        <f t="shared" si="0"/>
        <v>4.1916353333333332</v>
      </c>
      <c r="CP6">
        <f t="shared" si="0"/>
        <v>3.9575143333333336</v>
      </c>
      <c r="CQ6">
        <f t="shared" si="0"/>
        <v>3.6500323333333333</v>
      </c>
      <c r="CR6">
        <f t="shared" ref="CR6:DZ6" si="1">AVERAGE(CR3:CR5)</f>
        <v>3.2824513333333329</v>
      </c>
      <c r="CS6">
        <f t="shared" si="1"/>
        <v>2.8828320000000001</v>
      </c>
      <c r="CT6">
        <f t="shared" si="1"/>
        <v>2.4686689999999998</v>
      </c>
      <c r="CU6">
        <f t="shared" si="1"/>
        <v>2.0724023333333332</v>
      </c>
      <c r="CV6">
        <f t="shared" si="1"/>
        <v>1.7053313333333333</v>
      </c>
      <c r="CW6">
        <f t="shared" si="1"/>
        <v>1.3930493333333331</v>
      </c>
      <c r="CX6">
        <f t="shared" si="1"/>
        <v>1.1355866666666667</v>
      </c>
      <c r="CY6">
        <f t="shared" si="1"/>
        <v>0.94324033333333324</v>
      </c>
      <c r="CZ6">
        <f t="shared" si="1"/>
        <v>0.80521033333333325</v>
      </c>
      <c r="DA6">
        <f t="shared" si="1"/>
        <v>0.7160753333333334</v>
      </c>
      <c r="DB6">
        <f t="shared" si="1"/>
        <v>0.6624766666666666</v>
      </c>
      <c r="DC6">
        <f t="shared" si="1"/>
        <v>0.63321966666666663</v>
      </c>
      <c r="DD6">
        <f t="shared" si="1"/>
        <v>0.61450300000000002</v>
      </c>
      <c r="DE6">
        <f t="shared" si="1"/>
        <v>0.59262266666666674</v>
      </c>
      <c r="DF6">
        <f t="shared" si="1"/>
        <v>0.55506533333333341</v>
      </c>
      <c r="DG6">
        <f t="shared" si="1"/>
        <v>0.49941799999999992</v>
      </c>
      <c r="DH6">
        <f t="shared" si="1"/>
        <v>0.42005466666666669</v>
      </c>
      <c r="DI6">
        <f t="shared" si="1"/>
        <v>0.30122133333333334</v>
      </c>
      <c r="DZ6">
        <f t="shared" si="1"/>
        <v>0</v>
      </c>
    </row>
    <row r="8" spans="1:13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EA8" t="s">
        <v>30</v>
      </c>
    </row>
    <row r="9" spans="1:131" x14ac:dyDescent="0.2">
      <c r="AD9">
        <v>0.01</v>
      </c>
      <c r="AE9">
        <v>1.1481999999999999E-2</v>
      </c>
      <c r="AF9">
        <v>1.3183E-2</v>
      </c>
      <c r="AG9">
        <v>1.5136E-2</v>
      </c>
      <c r="AH9">
        <v>1.7378000000000001E-2</v>
      </c>
      <c r="AI9">
        <v>1.9952999999999999E-2</v>
      </c>
      <c r="AJ9">
        <v>2.2908999999999999E-2</v>
      </c>
      <c r="AK9">
        <v>2.6303E-2</v>
      </c>
      <c r="AL9">
        <v>3.0200000000000001E-2</v>
      </c>
      <c r="AM9">
        <v>3.4674000000000003E-2</v>
      </c>
      <c r="AN9">
        <v>3.9810999999999999E-2</v>
      </c>
      <c r="AO9">
        <v>4.5709E-2</v>
      </c>
      <c r="AP9">
        <v>5.2481E-2</v>
      </c>
      <c r="AQ9">
        <v>6.0255999999999997E-2</v>
      </c>
      <c r="AR9">
        <v>6.9182999999999995E-2</v>
      </c>
      <c r="AS9">
        <v>7.9433000000000004E-2</v>
      </c>
      <c r="AT9">
        <v>9.1201000000000004E-2</v>
      </c>
      <c r="AU9">
        <v>0.104713</v>
      </c>
      <c r="AV9">
        <v>0.120226</v>
      </c>
      <c r="AW9">
        <v>0.13803799999999999</v>
      </c>
      <c r="AX9">
        <v>0.15848899999999999</v>
      </c>
      <c r="AY9">
        <v>0.18196999999999999</v>
      </c>
      <c r="AZ9">
        <v>0.20893</v>
      </c>
      <c r="BA9">
        <v>0.23988300000000001</v>
      </c>
      <c r="BB9">
        <v>0.27542299999999997</v>
      </c>
      <c r="BC9">
        <v>0.31622800000000001</v>
      </c>
      <c r="BD9">
        <v>0.36307800000000001</v>
      </c>
      <c r="BE9">
        <v>0.41686899999999999</v>
      </c>
      <c r="BF9">
        <v>0.47863</v>
      </c>
      <c r="BG9">
        <v>0.54954099999999995</v>
      </c>
      <c r="BH9">
        <v>0.63095699999999999</v>
      </c>
      <c r="BI9">
        <v>0.72443599999999997</v>
      </c>
      <c r="BJ9">
        <v>0.83176399999999995</v>
      </c>
      <c r="BK9">
        <v>0.95499299999999998</v>
      </c>
      <c r="BL9">
        <v>1.0964780000000001</v>
      </c>
      <c r="BM9">
        <v>1.2589250000000001</v>
      </c>
      <c r="BN9">
        <v>1.4454400000000001</v>
      </c>
      <c r="BO9">
        <v>1.6595869999999999</v>
      </c>
      <c r="BP9">
        <v>1.9054610000000001</v>
      </c>
      <c r="BQ9">
        <v>2.1877620000000002</v>
      </c>
      <c r="BR9">
        <v>2.5118860000000001</v>
      </c>
      <c r="BS9">
        <v>2.8840309999999998</v>
      </c>
      <c r="BT9">
        <v>3.3113109999999999</v>
      </c>
      <c r="BU9">
        <v>3.8018939999999999</v>
      </c>
      <c r="BV9">
        <v>4.3651580000000001</v>
      </c>
      <c r="BW9">
        <v>5.0118720000000003</v>
      </c>
      <c r="BX9">
        <v>5.7543990000000003</v>
      </c>
      <c r="BY9">
        <v>6.6069339999999999</v>
      </c>
      <c r="BZ9">
        <v>7.5857760000000001</v>
      </c>
      <c r="CA9">
        <v>8.7096359999999997</v>
      </c>
      <c r="CB9">
        <v>10</v>
      </c>
      <c r="CC9">
        <v>11.481536</v>
      </c>
      <c r="CD9">
        <v>13.182567000000001</v>
      </c>
      <c r="CE9">
        <v>15.135612</v>
      </c>
      <c r="CF9">
        <v>17.378008000000001</v>
      </c>
      <c r="CG9">
        <v>19.952622999999999</v>
      </c>
      <c r="CH9">
        <v>22.908677000000001</v>
      </c>
      <c r="CI9">
        <v>26.302679999999999</v>
      </c>
      <c r="CJ9">
        <v>30.199517</v>
      </c>
      <c r="CK9">
        <v>34.673684999999999</v>
      </c>
      <c r="CL9">
        <v>39.810716999999997</v>
      </c>
      <c r="CM9">
        <v>45.708818999999998</v>
      </c>
      <c r="CN9">
        <v>52.480746000000003</v>
      </c>
      <c r="CO9">
        <v>60.255958999999997</v>
      </c>
      <c r="CP9">
        <v>69.183097000000004</v>
      </c>
      <c r="CQ9">
        <v>79.432822999999999</v>
      </c>
      <c r="CR9">
        <v>91.201083999999994</v>
      </c>
      <c r="CS9">
        <v>104.712855</v>
      </c>
      <c r="CT9">
        <v>120.226443</v>
      </c>
      <c r="CU9">
        <v>138.03842599999999</v>
      </c>
      <c r="CV9">
        <v>158.48931899999999</v>
      </c>
      <c r="CW9">
        <v>181.97008600000001</v>
      </c>
      <c r="CX9">
        <v>208.92961299999999</v>
      </c>
      <c r="CY9">
        <v>239.88329200000001</v>
      </c>
      <c r="CZ9">
        <v>275.42286999999999</v>
      </c>
      <c r="DA9">
        <v>316.22776599999997</v>
      </c>
      <c r="DB9">
        <v>363.07805500000001</v>
      </c>
      <c r="DC9">
        <v>416.86938300000003</v>
      </c>
      <c r="DD9">
        <v>478.63009199999999</v>
      </c>
      <c r="DE9">
        <v>549.54087400000003</v>
      </c>
      <c r="DF9">
        <v>630.95734400000003</v>
      </c>
      <c r="DG9">
        <v>724.43596000000002</v>
      </c>
      <c r="DH9">
        <v>831.76377100000002</v>
      </c>
      <c r="DI9">
        <v>954.99258599999996</v>
      </c>
      <c r="DJ9">
        <v>1096.478196</v>
      </c>
      <c r="DK9">
        <v>1258.9254120000001</v>
      </c>
      <c r="DL9">
        <v>1445.4397710000001</v>
      </c>
      <c r="DM9">
        <v>1659.5869070000001</v>
      </c>
      <c r="DN9">
        <v>1905.460718</v>
      </c>
      <c r="DO9">
        <v>2187.7616240000002</v>
      </c>
      <c r="DP9">
        <v>2511.8864319999998</v>
      </c>
      <c r="DQ9">
        <v>2884.0315030000002</v>
      </c>
      <c r="DR9">
        <v>3311.3112150000002</v>
      </c>
      <c r="DS9">
        <v>3801.893963</v>
      </c>
      <c r="DT9">
        <v>4365.1583220000002</v>
      </c>
      <c r="DU9">
        <v>5011.8723360000004</v>
      </c>
      <c r="DV9">
        <v>5754.3993730000002</v>
      </c>
      <c r="DW9">
        <v>6606.9344799999999</v>
      </c>
      <c r="DX9">
        <v>7585.7757499999998</v>
      </c>
      <c r="DY9">
        <v>8709.6358999999993</v>
      </c>
      <c r="DZ9">
        <v>10000</v>
      </c>
    </row>
    <row r="10" spans="1:131" x14ac:dyDescent="0.2">
      <c r="A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>
        <v>1.5</v>
      </c>
      <c r="J10">
        <v>0.9</v>
      </c>
      <c r="K10" t="s">
        <v>37</v>
      </c>
      <c r="L10">
        <v>1.33</v>
      </c>
      <c r="M10" t="s">
        <v>38</v>
      </c>
      <c r="N10" t="s">
        <v>39</v>
      </c>
      <c r="O10">
        <v>0.1</v>
      </c>
      <c r="P10">
        <v>1000</v>
      </c>
      <c r="Q10" t="s">
        <v>40</v>
      </c>
      <c r="R10">
        <v>14.36</v>
      </c>
      <c r="S10">
        <v>1.518</v>
      </c>
      <c r="T10">
        <v>1.35E-2</v>
      </c>
      <c r="U10">
        <v>7.6070000000000002</v>
      </c>
      <c r="V10" t="s">
        <v>41</v>
      </c>
      <c r="W10">
        <v>77.200999999999993</v>
      </c>
      <c r="X10">
        <v>2.54</v>
      </c>
      <c r="Y10">
        <v>0.877</v>
      </c>
      <c r="Z10">
        <v>6.8410000000000002</v>
      </c>
      <c r="AA10">
        <v>2.806</v>
      </c>
      <c r="AB10">
        <v>26.242999999999999</v>
      </c>
      <c r="AC10">
        <v>202.429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9.6069999999999992E-3</v>
      </c>
      <c r="BD10">
        <v>8.6626999999999996E-2</v>
      </c>
      <c r="BE10">
        <v>0.21017</v>
      </c>
      <c r="BF10">
        <v>0.30978800000000001</v>
      </c>
      <c r="BG10">
        <v>0.39233299999999999</v>
      </c>
      <c r="BH10">
        <v>0.45777000000000001</v>
      </c>
      <c r="BI10">
        <v>0.50451299999999999</v>
      </c>
      <c r="BJ10">
        <v>0.54165200000000002</v>
      </c>
      <c r="BK10">
        <v>0.57593300000000003</v>
      </c>
      <c r="BL10">
        <v>0.61725300000000005</v>
      </c>
      <c r="BM10">
        <v>0.67142599999999997</v>
      </c>
      <c r="BN10">
        <v>0.742537</v>
      </c>
      <c r="BO10">
        <v>0.82822499999999999</v>
      </c>
      <c r="BP10">
        <v>0.92471499999999995</v>
      </c>
      <c r="BQ10">
        <v>1.0254049999999999</v>
      </c>
      <c r="BR10">
        <v>1.12639</v>
      </c>
      <c r="BS10">
        <v>1.2253620000000001</v>
      </c>
      <c r="BT10">
        <v>1.3219069999999999</v>
      </c>
      <c r="BU10">
        <v>1.417646</v>
      </c>
      <c r="BV10">
        <v>1.5147930000000001</v>
      </c>
      <c r="BW10">
        <v>1.618986</v>
      </c>
      <c r="BX10">
        <v>1.7347349999999999</v>
      </c>
      <c r="BY10">
        <v>1.8709849999999999</v>
      </c>
      <c r="BZ10">
        <v>2.031158</v>
      </c>
      <c r="CA10">
        <v>2.2231719999999999</v>
      </c>
      <c r="CB10">
        <v>2.441789</v>
      </c>
      <c r="CC10">
        <v>2.6885789999999998</v>
      </c>
      <c r="CD10">
        <v>2.9455870000000002</v>
      </c>
      <c r="CE10">
        <v>3.2056249999999999</v>
      </c>
      <c r="CF10">
        <v>3.4446509999999999</v>
      </c>
      <c r="CG10">
        <v>3.6509809999999998</v>
      </c>
      <c r="CH10">
        <v>3.8053650000000001</v>
      </c>
      <c r="CI10">
        <v>3.8992399999999998</v>
      </c>
      <c r="CJ10">
        <v>3.9248940000000001</v>
      </c>
      <c r="CK10">
        <v>3.8816660000000001</v>
      </c>
      <c r="CL10">
        <v>3.7738809999999998</v>
      </c>
      <c r="CM10">
        <v>3.6103239999999999</v>
      </c>
      <c r="CN10">
        <v>3.403762</v>
      </c>
      <c r="CO10">
        <v>3.168901</v>
      </c>
      <c r="CP10">
        <v>2.919184</v>
      </c>
      <c r="CQ10">
        <v>2.669991</v>
      </c>
      <c r="CR10">
        <v>2.4287939999999999</v>
      </c>
      <c r="CS10">
        <v>2.2053430000000001</v>
      </c>
      <c r="CT10">
        <v>1.9973320000000001</v>
      </c>
      <c r="CU10">
        <v>1.80813</v>
      </c>
      <c r="CV10">
        <v>1.631788</v>
      </c>
      <c r="CW10">
        <v>1.473393</v>
      </c>
      <c r="CX10">
        <v>1.3307580000000001</v>
      </c>
      <c r="CY10">
        <v>1.21201</v>
      </c>
      <c r="CZ10">
        <v>1.114841</v>
      </c>
      <c r="DA10">
        <v>1.040246</v>
      </c>
      <c r="DB10">
        <v>0.98264799999999997</v>
      </c>
      <c r="DC10">
        <v>0.93732800000000005</v>
      </c>
      <c r="DD10">
        <v>0.89641599999999999</v>
      </c>
      <c r="DE10">
        <v>0.85302500000000003</v>
      </c>
      <c r="DF10">
        <v>0.79914499999999999</v>
      </c>
      <c r="DG10">
        <v>0.73419999999999996</v>
      </c>
      <c r="DH10">
        <v>0.646733</v>
      </c>
      <c r="DI10">
        <v>0.49036299999999999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</row>
    <row r="11" spans="1:131" x14ac:dyDescent="0.2">
      <c r="A11" t="s">
        <v>31</v>
      </c>
      <c r="D11" t="s">
        <v>32</v>
      </c>
      <c r="E11" t="s">
        <v>33</v>
      </c>
      <c r="F11" t="s">
        <v>42</v>
      </c>
      <c r="G11" t="s">
        <v>43</v>
      </c>
      <c r="H11" t="s">
        <v>36</v>
      </c>
      <c r="I11">
        <v>1.5</v>
      </c>
      <c r="J11">
        <v>0.9</v>
      </c>
      <c r="K11" t="s">
        <v>37</v>
      </c>
      <c r="L11">
        <v>1.33</v>
      </c>
      <c r="M11" t="s">
        <v>38</v>
      </c>
      <c r="N11" t="s">
        <v>39</v>
      </c>
      <c r="O11">
        <v>0.1</v>
      </c>
      <c r="P11">
        <v>1000</v>
      </c>
      <c r="Q11" t="s">
        <v>40</v>
      </c>
      <c r="R11">
        <v>14.24</v>
      </c>
      <c r="S11">
        <v>1.5109999999999999</v>
      </c>
      <c r="T11">
        <v>1.35E-2</v>
      </c>
      <c r="U11">
        <v>7.7930000000000001</v>
      </c>
      <c r="V11" t="s">
        <v>41</v>
      </c>
      <c r="W11">
        <v>78.221999999999994</v>
      </c>
      <c r="X11">
        <v>2.57</v>
      </c>
      <c r="Y11">
        <v>0.871</v>
      </c>
      <c r="Z11">
        <v>6.8879999999999999</v>
      </c>
      <c r="AA11">
        <v>2.8340000000000001</v>
      </c>
      <c r="AB11">
        <v>26.283000000000001</v>
      </c>
      <c r="AC11">
        <v>207.65700000000001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9.4090000000000007E-3</v>
      </c>
      <c r="BD11">
        <v>8.4961999999999996E-2</v>
      </c>
      <c r="BE11">
        <v>0.207399</v>
      </c>
      <c r="BF11">
        <v>0.30606499999999998</v>
      </c>
      <c r="BG11">
        <v>0.387824</v>
      </c>
      <c r="BH11">
        <v>0.45264799999999999</v>
      </c>
      <c r="BI11">
        <v>0.49897799999999998</v>
      </c>
      <c r="BJ11">
        <v>0.53584299999999996</v>
      </c>
      <c r="BK11">
        <v>0.56994599999999995</v>
      </c>
      <c r="BL11">
        <v>0.61112</v>
      </c>
      <c r="BM11">
        <v>0.66513800000000001</v>
      </c>
      <c r="BN11">
        <v>0.73606499999999997</v>
      </c>
      <c r="BO11">
        <v>0.82155299999999998</v>
      </c>
      <c r="BP11">
        <v>0.91786199999999996</v>
      </c>
      <c r="BQ11">
        <v>1.018427</v>
      </c>
      <c r="BR11">
        <v>1.119372</v>
      </c>
      <c r="BS11">
        <v>1.218404</v>
      </c>
      <c r="BT11">
        <v>1.315129</v>
      </c>
      <c r="BU11">
        <v>1.4111940000000001</v>
      </c>
      <c r="BV11">
        <v>1.508848</v>
      </c>
      <c r="BW11">
        <v>1.613793</v>
      </c>
      <c r="BX11">
        <v>1.730588</v>
      </c>
      <c r="BY11">
        <v>1.868255</v>
      </c>
      <c r="BZ11">
        <v>2.030211</v>
      </c>
      <c r="CA11">
        <v>2.2243940000000002</v>
      </c>
      <c r="CB11">
        <v>2.4454199999999999</v>
      </c>
      <c r="CC11">
        <v>2.694782</v>
      </c>
      <c r="CD11">
        <v>2.954243</v>
      </c>
      <c r="CE11">
        <v>3.2164259999999998</v>
      </c>
      <c r="CF11">
        <v>3.456931</v>
      </c>
      <c r="CG11">
        <v>3.66378</v>
      </c>
      <c r="CH11">
        <v>3.8173810000000001</v>
      </c>
      <c r="CI11">
        <v>3.908881</v>
      </c>
      <c r="CJ11">
        <v>3.9304709999999998</v>
      </c>
      <c r="CK11">
        <v>3.8816419999999998</v>
      </c>
      <c r="CL11">
        <v>3.7674089999999998</v>
      </c>
      <c r="CM11">
        <v>3.5975730000000001</v>
      </c>
      <c r="CN11">
        <v>3.3860070000000002</v>
      </c>
      <c r="CO11">
        <v>3.1481979999999998</v>
      </c>
      <c r="CP11">
        <v>2.8978169999999999</v>
      </c>
      <c r="CQ11">
        <v>2.6499250000000001</v>
      </c>
      <c r="CR11">
        <v>2.4112830000000001</v>
      </c>
      <c r="CS11">
        <v>2.190652</v>
      </c>
      <c r="CT11">
        <v>1.9847969999999999</v>
      </c>
      <c r="CU11">
        <v>1.7963229999999999</v>
      </c>
      <c r="CV11">
        <v>1.619062</v>
      </c>
      <c r="CW11">
        <v>1.458629</v>
      </c>
      <c r="CX11">
        <v>1.314241</v>
      </c>
      <c r="CY11">
        <v>1.1963250000000001</v>
      </c>
      <c r="CZ11">
        <v>1.1050899999999999</v>
      </c>
      <c r="DA11">
        <v>1.042875</v>
      </c>
      <c r="DB11">
        <v>1.0036560000000001</v>
      </c>
      <c r="DC11">
        <v>0.97883900000000001</v>
      </c>
      <c r="DD11">
        <v>0.95471300000000003</v>
      </c>
      <c r="DE11">
        <v>0.91742800000000002</v>
      </c>
      <c r="DF11">
        <v>0.85471799999999998</v>
      </c>
      <c r="DG11">
        <v>0.76769500000000002</v>
      </c>
      <c r="DH11">
        <v>0.65036700000000003</v>
      </c>
      <c r="DI11">
        <v>0.472995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</row>
    <row r="12" spans="1:131" x14ac:dyDescent="0.2">
      <c r="A12" t="s">
        <v>31</v>
      </c>
      <c r="D12" t="s">
        <v>32</v>
      </c>
      <c r="E12" t="s">
        <v>33</v>
      </c>
      <c r="F12" t="s">
        <v>44</v>
      </c>
      <c r="G12" t="s">
        <v>45</v>
      </c>
      <c r="H12" t="s">
        <v>36</v>
      </c>
      <c r="I12">
        <v>1.5</v>
      </c>
      <c r="J12">
        <v>0.9</v>
      </c>
      <c r="K12" t="s">
        <v>37</v>
      </c>
      <c r="L12">
        <v>1.33</v>
      </c>
      <c r="M12" t="s">
        <v>38</v>
      </c>
      <c r="N12" t="s">
        <v>39</v>
      </c>
      <c r="O12">
        <v>0.1</v>
      </c>
      <c r="P12">
        <v>1000</v>
      </c>
      <c r="Q12" t="s">
        <v>40</v>
      </c>
      <c r="R12">
        <v>14.2</v>
      </c>
      <c r="S12">
        <v>1.496</v>
      </c>
      <c r="T12">
        <v>1.3599999999999999E-2</v>
      </c>
      <c r="U12">
        <v>7.7930000000000001</v>
      </c>
      <c r="V12" t="s">
        <v>41</v>
      </c>
      <c r="W12">
        <v>79.841999999999999</v>
      </c>
      <c r="X12">
        <v>2.59</v>
      </c>
      <c r="Y12">
        <v>0.85899999999999999</v>
      </c>
      <c r="Z12">
        <v>6.9820000000000002</v>
      </c>
      <c r="AA12">
        <v>2.8820000000000001</v>
      </c>
      <c r="AB12">
        <v>26.727</v>
      </c>
      <c r="AC12">
        <v>211.18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9.162E-3</v>
      </c>
      <c r="BD12">
        <v>8.2834000000000005E-2</v>
      </c>
      <c r="BE12">
        <v>0.203157</v>
      </c>
      <c r="BF12">
        <v>0.30008899999999999</v>
      </c>
      <c r="BG12">
        <v>0.38043500000000002</v>
      </c>
      <c r="BH12">
        <v>0.444191</v>
      </c>
      <c r="BI12">
        <v>0.48984299999999997</v>
      </c>
      <c r="BJ12">
        <v>0.52629599999999999</v>
      </c>
      <c r="BK12">
        <v>0.56015099999999995</v>
      </c>
      <c r="BL12">
        <v>0.60109000000000001</v>
      </c>
      <c r="BM12">
        <v>0.65477300000000005</v>
      </c>
      <c r="BN12">
        <v>0.72518800000000005</v>
      </c>
      <c r="BO12">
        <v>0.80999100000000002</v>
      </c>
      <c r="BP12">
        <v>0.90548499999999998</v>
      </c>
      <c r="BQ12">
        <v>1.005204</v>
      </c>
      <c r="BR12">
        <v>1.105353</v>
      </c>
      <c r="BS12">
        <v>1.203705</v>
      </c>
      <c r="BT12">
        <v>1.2998940000000001</v>
      </c>
      <c r="BU12">
        <v>1.3955379999999999</v>
      </c>
      <c r="BV12">
        <v>1.4928170000000001</v>
      </c>
      <c r="BW12">
        <v>1.5973360000000001</v>
      </c>
      <c r="BX12">
        <v>1.7135830000000001</v>
      </c>
      <c r="BY12">
        <v>1.850525</v>
      </c>
      <c r="BZ12">
        <v>2.0115820000000002</v>
      </c>
      <c r="CA12">
        <v>2.2046999999999999</v>
      </c>
      <c r="CB12">
        <v>2.4245969999999999</v>
      </c>
      <c r="CC12">
        <v>2.6728540000000001</v>
      </c>
      <c r="CD12">
        <v>2.9313980000000002</v>
      </c>
      <c r="CE12">
        <v>3.1929319999999999</v>
      </c>
      <c r="CF12">
        <v>3.4331100000000001</v>
      </c>
      <c r="CG12">
        <v>3.639907</v>
      </c>
      <c r="CH12">
        <v>3.7936480000000001</v>
      </c>
      <c r="CI12">
        <v>3.8853979999999999</v>
      </c>
      <c r="CJ12">
        <v>3.907305</v>
      </c>
      <c r="CK12">
        <v>3.8589090000000001</v>
      </c>
      <c r="CL12">
        <v>3.7454040000000002</v>
      </c>
      <c r="CM12">
        <v>3.5769639999999998</v>
      </c>
      <c r="CN12">
        <v>3.3680970000000001</v>
      </c>
      <c r="CO12">
        <v>3.1351369999999998</v>
      </c>
      <c r="CP12">
        <v>2.892658</v>
      </c>
      <c r="CQ12">
        <v>2.6562229999999998</v>
      </c>
      <c r="CR12">
        <v>2.4326159999999999</v>
      </c>
      <c r="CS12">
        <v>2.2293020000000001</v>
      </c>
      <c r="CT12">
        <v>2.0413649999999999</v>
      </c>
      <c r="CU12">
        <v>1.8684179999999999</v>
      </c>
      <c r="CV12">
        <v>1.7017439999999999</v>
      </c>
      <c r="CW12">
        <v>1.544017</v>
      </c>
      <c r="CX12">
        <v>1.3925909999999999</v>
      </c>
      <c r="CY12">
        <v>1.2578039999999999</v>
      </c>
      <c r="CZ12">
        <v>1.1414420000000001</v>
      </c>
      <c r="DA12">
        <v>1.0510569999999999</v>
      </c>
      <c r="DB12">
        <v>0.98645000000000005</v>
      </c>
      <c r="DC12">
        <v>0.94575299999999995</v>
      </c>
      <c r="DD12">
        <v>0.919234</v>
      </c>
      <c r="DE12">
        <v>0.89427000000000001</v>
      </c>
      <c r="DF12">
        <v>0.85628599999999999</v>
      </c>
      <c r="DG12">
        <v>0.79996</v>
      </c>
      <c r="DH12">
        <v>0.71068900000000002</v>
      </c>
      <c r="DI12">
        <v>0.53953700000000004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</row>
    <row r="13" spans="1:131" x14ac:dyDescent="0.2">
      <c r="A13" t="s">
        <v>62</v>
      </c>
      <c r="BC13">
        <f t="shared" ref="BC13" si="2">AVERAGE(BC10:BC12)</f>
        <v>9.3926666666666655E-3</v>
      </c>
      <c r="BD13">
        <f t="shared" ref="BD13" si="3">AVERAGE(BD10:BD12)</f>
        <v>8.480766666666667E-2</v>
      </c>
      <c r="BE13">
        <f t="shared" ref="BE13" si="4">AVERAGE(BE10:BE12)</f>
        <v>0.20690866666666666</v>
      </c>
      <c r="BF13">
        <f t="shared" ref="BF13" si="5">AVERAGE(BF10:BF12)</f>
        <v>0.30531400000000003</v>
      </c>
      <c r="BG13">
        <f t="shared" ref="BG13" si="6">AVERAGE(BG10:BG12)</f>
        <v>0.38686400000000004</v>
      </c>
      <c r="BH13">
        <f t="shared" ref="BH13" si="7">AVERAGE(BH10:BH12)</f>
        <v>0.45153633333333332</v>
      </c>
      <c r="BI13">
        <f t="shared" ref="BI13" si="8">AVERAGE(BI10:BI12)</f>
        <v>0.497778</v>
      </c>
      <c r="BJ13">
        <f t="shared" ref="BJ13" si="9">AVERAGE(BJ10:BJ12)</f>
        <v>0.53459699999999988</v>
      </c>
      <c r="BK13">
        <f t="shared" ref="BK13" si="10">AVERAGE(BK10:BK12)</f>
        <v>0.56867666666666661</v>
      </c>
      <c r="BL13">
        <f t="shared" ref="BL13" si="11">AVERAGE(BL10:BL12)</f>
        <v>0.60982100000000006</v>
      </c>
      <c r="BM13">
        <f t="shared" ref="BM13" si="12">AVERAGE(BM10:BM12)</f>
        <v>0.66377900000000001</v>
      </c>
      <c r="BN13">
        <f t="shared" ref="BN13" si="13">AVERAGE(BN10:BN12)</f>
        <v>0.73459666666666668</v>
      </c>
      <c r="BO13">
        <f t="shared" ref="BO13" si="14">AVERAGE(BO10:BO12)</f>
        <v>0.81992300000000007</v>
      </c>
      <c r="BP13">
        <f t="shared" ref="BP13" si="15">AVERAGE(BP10:BP12)</f>
        <v>0.91602066666666671</v>
      </c>
      <c r="BQ13">
        <f t="shared" ref="BQ13" si="16">AVERAGE(BQ10:BQ12)</f>
        <v>1.0163453333333334</v>
      </c>
      <c r="BR13">
        <f t="shared" ref="BR13" si="17">AVERAGE(BR10:BR12)</f>
        <v>1.1170383333333334</v>
      </c>
      <c r="BS13">
        <f t="shared" ref="BS13" si="18">AVERAGE(BS10:BS12)</f>
        <v>1.2158236666666669</v>
      </c>
      <c r="BT13">
        <f t="shared" ref="BT13" si="19">AVERAGE(BT10:BT12)</f>
        <v>1.3123100000000001</v>
      </c>
      <c r="BU13">
        <f t="shared" ref="BU13" si="20">AVERAGE(BU10:BU12)</f>
        <v>1.408126</v>
      </c>
      <c r="BV13">
        <f t="shared" ref="BV13" si="21">AVERAGE(BV10:BV12)</f>
        <v>1.5054860000000001</v>
      </c>
      <c r="BW13">
        <f t="shared" ref="BW13" si="22">AVERAGE(BW10:BW12)</f>
        <v>1.6100383333333335</v>
      </c>
      <c r="BX13">
        <f t="shared" ref="BX13" si="23">AVERAGE(BX10:BX12)</f>
        <v>1.7263019999999998</v>
      </c>
      <c r="BY13">
        <f t="shared" ref="BY13" si="24">AVERAGE(BY10:BY12)</f>
        <v>1.8632549999999999</v>
      </c>
      <c r="BZ13">
        <f t="shared" ref="BZ13" si="25">AVERAGE(BZ10:BZ12)</f>
        <v>2.0243169999999999</v>
      </c>
      <c r="CA13">
        <f t="shared" ref="CA13" si="26">AVERAGE(CA10:CA12)</f>
        <v>2.217422</v>
      </c>
      <c r="CB13">
        <f t="shared" ref="CB13" si="27">AVERAGE(CB10:CB12)</f>
        <v>2.4372686666666667</v>
      </c>
      <c r="CC13">
        <f t="shared" ref="CC13" si="28">AVERAGE(CC10:CC12)</f>
        <v>2.6854049999999998</v>
      </c>
      <c r="CD13">
        <f t="shared" ref="CD13" si="29">AVERAGE(CD10:CD12)</f>
        <v>2.9437426666666666</v>
      </c>
      <c r="CE13">
        <f t="shared" ref="CE13" si="30">AVERAGE(CE10:CE12)</f>
        <v>3.2049943333333331</v>
      </c>
      <c r="CF13">
        <f t="shared" ref="CF13" si="31">AVERAGE(CF10:CF12)</f>
        <v>3.4448973333333335</v>
      </c>
      <c r="CG13">
        <f t="shared" ref="CG13" si="32">AVERAGE(CG10:CG12)</f>
        <v>3.6515559999999998</v>
      </c>
      <c r="CH13">
        <f t="shared" ref="CH13" si="33">AVERAGE(CH10:CH12)</f>
        <v>3.8054646666666669</v>
      </c>
      <c r="CI13">
        <f t="shared" ref="CI13" si="34">AVERAGE(CI10:CI12)</f>
        <v>3.8978396666666666</v>
      </c>
      <c r="CJ13">
        <f t="shared" ref="CJ13" si="35">AVERAGE(CJ10:CJ12)</f>
        <v>3.92089</v>
      </c>
      <c r="CK13">
        <f t="shared" ref="CK13" si="36">AVERAGE(CK10:CK12)</f>
        <v>3.8740723333333338</v>
      </c>
      <c r="CL13">
        <f t="shared" ref="CL13" si="37">AVERAGE(CL10:CL12)</f>
        <v>3.7622313333333337</v>
      </c>
      <c r="CM13">
        <f t="shared" ref="CM13" si="38">AVERAGE(CM10:CM12)</f>
        <v>3.5949536666666666</v>
      </c>
      <c r="CN13">
        <f t="shared" ref="CN13" si="39">AVERAGE(CN10:CN12)</f>
        <v>3.3859553333333334</v>
      </c>
      <c r="CO13">
        <f t="shared" ref="CO13" si="40">AVERAGE(CO10:CO12)</f>
        <v>3.1507453333333331</v>
      </c>
      <c r="CP13">
        <f t="shared" ref="CP13" si="41">AVERAGE(CP10:CP12)</f>
        <v>2.9032196666666663</v>
      </c>
      <c r="CQ13">
        <f t="shared" ref="CQ13" si="42">AVERAGE(CQ10:CQ12)</f>
        <v>2.6587130000000001</v>
      </c>
      <c r="CR13">
        <f t="shared" ref="CR13" si="43">AVERAGE(CR10:CR12)</f>
        <v>2.4242310000000002</v>
      </c>
      <c r="CS13">
        <f t="shared" ref="CS13" si="44">AVERAGE(CS10:CS12)</f>
        <v>2.2084323333333331</v>
      </c>
      <c r="CT13">
        <f t="shared" ref="CT13" si="45">AVERAGE(CT10:CT12)</f>
        <v>2.0078313333333333</v>
      </c>
      <c r="CU13">
        <f t="shared" ref="CU13" si="46">AVERAGE(CU10:CU12)</f>
        <v>1.8242903333333331</v>
      </c>
      <c r="CV13">
        <f t="shared" ref="CV13" si="47">AVERAGE(CV10:CV12)</f>
        <v>1.6508646666666664</v>
      </c>
      <c r="CW13">
        <f t="shared" ref="CW13" si="48">AVERAGE(CW10:CW12)</f>
        <v>1.492013</v>
      </c>
      <c r="CX13">
        <f t="shared" ref="CX13" si="49">AVERAGE(CX10:CX12)</f>
        <v>1.3458633333333332</v>
      </c>
      <c r="CY13">
        <f t="shared" ref="CY13" si="50">AVERAGE(CY10:CY12)</f>
        <v>1.2220463333333333</v>
      </c>
      <c r="CZ13">
        <f t="shared" ref="CZ13" si="51">AVERAGE(CZ10:CZ12)</f>
        <v>1.1204576666666666</v>
      </c>
      <c r="DA13">
        <f t="shared" ref="DA13" si="52">AVERAGE(DA10:DA12)</f>
        <v>1.044726</v>
      </c>
      <c r="DB13">
        <f t="shared" ref="DB13" si="53">AVERAGE(DB10:DB12)</f>
        <v>0.99091800000000008</v>
      </c>
      <c r="DC13">
        <f t="shared" ref="DC13" si="54">AVERAGE(DC10:DC12)</f>
        <v>0.95397333333333334</v>
      </c>
      <c r="DD13">
        <f t="shared" ref="DD13" si="55">AVERAGE(DD10:DD12)</f>
        <v>0.92345433333333338</v>
      </c>
      <c r="DE13">
        <f t="shared" ref="DE13" si="56">AVERAGE(DE10:DE12)</f>
        <v>0.88824099999999995</v>
      </c>
      <c r="DF13">
        <f t="shared" ref="DF13" si="57">AVERAGE(DF10:DF12)</f>
        <v>0.83671633333333328</v>
      </c>
      <c r="DG13">
        <f t="shared" ref="DG13" si="58">AVERAGE(DG10:DG12)</f>
        <v>0.76728499999999988</v>
      </c>
      <c r="DH13">
        <f t="shared" ref="DH13" si="59">AVERAGE(DH10:DH12)</f>
        <v>0.66926299999999994</v>
      </c>
      <c r="DI13">
        <f t="shared" ref="DI13" si="60">AVERAGE(DI10:DI12)</f>
        <v>0.50096499999999999</v>
      </c>
    </row>
    <row r="15" spans="1:131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22</v>
      </c>
      <c r="X15" t="s">
        <v>23</v>
      </c>
      <c r="Y15" t="s">
        <v>24</v>
      </c>
      <c r="Z15" t="s">
        <v>25</v>
      </c>
      <c r="AA15" t="s">
        <v>26</v>
      </c>
      <c r="AB15" t="s">
        <v>27</v>
      </c>
      <c r="AC15" t="s">
        <v>28</v>
      </c>
      <c r="AD15" t="s">
        <v>29</v>
      </c>
      <c r="EA15" t="s">
        <v>30</v>
      </c>
    </row>
    <row r="16" spans="1:131" x14ac:dyDescent="0.2">
      <c r="AD16">
        <v>0.01</v>
      </c>
      <c r="AE16">
        <v>1.1481999999999999E-2</v>
      </c>
      <c r="AF16">
        <v>1.3183E-2</v>
      </c>
      <c r="AG16">
        <v>1.5136E-2</v>
      </c>
      <c r="AH16">
        <v>1.7378000000000001E-2</v>
      </c>
      <c r="AI16">
        <v>1.9952999999999999E-2</v>
      </c>
      <c r="AJ16">
        <v>2.2908999999999999E-2</v>
      </c>
      <c r="AK16">
        <v>2.6303E-2</v>
      </c>
      <c r="AL16">
        <v>3.0200000000000001E-2</v>
      </c>
      <c r="AM16">
        <v>3.4674000000000003E-2</v>
      </c>
      <c r="AN16">
        <v>3.9810999999999999E-2</v>
      </c>
      <c r="AO16">
        <v>4.5709E-2</v>
      </c>
      <c r="AP16">
        <v>5.2481E-2</v>
      </c>
      <c r="AQ16">
        <v>6.0255999999999997E-2</v>
      </c>
      <c r="AR16">
        <v>6.9182999999999995E-2</v>
      </c>
      <c r="AS16">
        <v>7.9433000000000004E-2</v>
      </c>
      <c r="AT16">
        <v>9.1201000000000004E-2</v>
      </c>
      <c r="AU16">
        <v>0.104713</v>
      </c>
      <c r="AV16">
        <v>0.120226</v>
      </c>
      <c r="AW16">
        <v>0.13803799999999999</v>
      </c>
      <c r="AX16">
        <v>0.15848899999999999</v>
      </c>
      <c r="AY16">
        <v>0.18196999999999999</v>
      </c>
      <c r="AZ16">
        <v>0.20893</v>
      </c>
      <c r="BA16">
        <v>0.23988300000000001</v>
      </c>
      <c r="BB16">
        <v>0.27542299999999997</v>
      </c>
      <c r="BC16">
        <v>0.31622800000000001</v>
      </c>
      <c r="BD16">
        <v>0.36307800000000001</v>
      </c>
      <c r="BE16">
        <v>0.41686899999999999</v>
      </c>
      <c r="BF16">
        <v>0.47863</v>
      </c>
      <c r="BG16">
        <v>0.54954099999999995</v>
      </c>
      <c r="BH16">
        <v>0.63095699999999999</v>
      </c>
      <c r="BI16">
        <v>0.72443599999999997</v>
      </c>
      <c r="BJ16">
        <v>0.83176399999999995</v>
      </c>
      <c r="BK16">
        <v>0.95499299999999998</v>
      </c>
      <c r="BL16">
        <v>1.0964780000000001</v>
      </c>
      <c r="BM16">
        <v>1.2589250000000001</v>
      </c>
      <c r="BN16">
        <v>1.4454400000000001</v>
      </c>
      <c r="BO16">
        <v>1.6595869999999999</v>
      </c>
      <c r="BP16">
        <v>1.9054610000000001</v>
      </c>
      <c r="BQ16">
        <v>2.1877620000000002</v>
      </c>
      <c r="BR16">
        <v>2.5118860000000001</v>
      </c>
      <c r="BS16">
        <v>2.8840309999999998</v>
      </c>
      <c r="BT16">
        <v>3.3113109999999999</v>
      </c>
      <c r="BU16">
        <v>3.8018939999999999</v>
      </c>
      <c r="BV16">
        <v>4.3651580000000001</v>
      </c>
      <c r="BW16">
        <v>5.0118720000000003</v>
      </c>
      <c r="BX16">
        <v>5.7543990000000003</v>
      </c>
      <c r="BY16">
        <v>6.6069339999999999</v>
      </c>
      <c r="BZ16">
        <v>7.5857760000000001</v>
      </c>
      <c r="CA16">
        <v>8.7096359999999997</v>
      </c>
      <c r="CB16">
        <v>10</v>
      </c>
      <c r="CC16">
        <v>11.481536</v>
      </c>
      <c r="CD16">
        <v>13.182567000000001</v>
      </c>
      <c r="CE16">
        <v>15.135612</v>
      </c>
      <c r="CF16">
        <v>17.378008000000001</v>
      </c>
      <c r="CG16">
        <v>19.952622999999999</v>
      </c>
      <c r="CH16">
        <v>22.908677000000001</v>
      </c>
      <c r="CI16">
        <v>26.302679999999999</v>
      </c>
      <c r="CJ16">
        <v>30.199517</v>
      </c>
      <c r="CK16">
        <v>34.673684999999999</v>
      </c>
      <c r="CL16">
        <v>39.810716999999997</v>
      </c>
      <c r="CM16">
        <v>45.708818999999998</v>
      </c>
      <c r="CN16">
        <v>52.480746000000003</v>
      </c>
      <c r="CO16">
        <v>60.255958999999997</v>
      </c>
      <c r="CP16">
        <v>69.183097000000004</v>
      </c>
      <c r="CQ16">
        <v>79.432822999999999</v>
      </c>
      <c r="CR16">
        <v>91.201083999999994</v>
      </c>
      <c r="CS16">
        <v>104.712855</v>
      </c>
      <c r="CT16">
        <v>120.226443</v>
      </c>
      <c r="CU16">
        <v>138.03842599999999</v>
      </c>
      <c r="CV16">
        <v>158.48931899999999</v>
      </c>
      <c r="CW16">
        <v>181.97008600000001</v>
      </c>
      <c r="CX16">
        <v>208.92961299999999</v>
      </c>
      <c r="CY16">
        <v>239.88329200000001</v>
      </c>
      <c r="CZ16">
        <v>275.42286999999999</v>
      </c>
      <c r="DA16">
        <v>316.22776599999997</v>
      </c>
      <c r="DB16">
        <v>363.07805500000001</v>
      </c>
      <c r="DC16">
        <v>416.86938300000003</v>
      </c>
      <c r="DD16">
        <v>478.63009199999999</v>
      </c>
      <c r="DE16">
        <v>549.54087400000003</v>
      </c>
      <c r="DF16">
        <v>630.95734400000003</v>
      </c>
      <c r="DG16">
        <v>724.43596000000002</v>
      </c>
      <c r="DH16">
        <v>831.76377100000002</v>
      </c>
      <c r="DI16">
        <v>954.99258599999996</v>
      </c>
      <c r="DJ16">
        <v>1096.478196</v>
      </c>
      <c r="DK16">
        <v>1258.9254120000001</v>
      </c>
      <c r="DL16">
        <v>1445.4397710000001</v>
      </c>
      <c r="DM16">
        <v>1659.5869070000001</v>
      </c>
      <c r="DN16">
        <v>1905.460718</v>
      </c>
      <c r="DO16">
        <v>2187.7616240000002</v>
      </c>
      <c r="DP16">
        <v>2511.8864319999998</v>
      </c>
      <c r="DQ16">
        <v>2884.0315030000002</v>
      </c>
      <c r="DR16">
        <v>3311.3112150000002</v>
      </c>
      <c r="DS16">
        <v>3801.893963</v>
      </c>
      <c r="DT16">
        <v>4365.1583220000002</v>
      </c>
      <c r="DU16">
        <v>5011.8723360000004</v>
      </c>
      <c r="DV16">
        <v>5754.3993730000002</v>
      </c>
      <c r="DW16">
        <v>6606.9344799999999</v>
      </c>
      <c r="DX16">
        <v>7585.7757499999998</v>
      </c>
      <c r="DY16">
        <v>8709.6358999999993</v>
      </c>
      <c r="DZ16">
        <v>10000</v>
      </c>
    </row>
    <row r="17" spans="1:130" x14ac:dyDescent="0.2">
      <c r="A17" t="s">
        <v>46</v>
      </c>
      <c r="D17" t="s">
        <v>47</v>
      </c>
      <c r="E17" t="s">
        <v>33</v>
      </c>
      <c r="F17" t="s">
        <v>48</v>
      </c>
      <c r="G17" t="s">
        <v>49</v>
      </c>
      <c r="H17" t="s">
        <v>50</v>
      </c>
      <c r="I17">
        <v>1.56</v>
      </c>
      <c r="J17">
        <v>0.1</v>
      </c>
      <c r="K17" t="s">
        <v>37</v>
      </c>
      <c r="L17">
        <v>1.33</v>
      </c>
      <c r="M17" t="s">
        <v>38</v>
      </c>
      <c r="N17" t="s">
        <v>39</v>
      </c>
      <c r="O17">
        <v>0.1</v>
      </c>
      <c r="P17">
        <v>1000</v>
      </c>
      <c r="Q17" t="s">
        <v>40</v>
      </c>
      <c r="R17">
        <v>10.220000000000001</v>
      </c>
      <c r="S17">
        <v>0.96</v>
      </c>
      <c r="T17">
        <v>1.77E-2</v>
      </c>
      <c r="U17">
        <v>3.0960000000000001</v>
      </c>
      <c r="V17" t="s">
        <v>41</v>
      </c>
      <c r="W17">
        <v>84.245000000000005</v>
      </c>
      <c r="X17">
        <v>1.05</v>
      </c>
      <c r="Y17">
        <v>0.51900000000000002</v>
      </c>
      <c r="Z17">
        <v>11.551</v>
      </c>
      <c r="AA17">
        <v>5.4649999999999999</v>
      </c>
      <c r="AB17">
        <v>57.786999999999999</v>
      </c>
      <c r="AC17">
        <v>184.38399999999999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5.5087999999999998E-2</v>
      </c>
      <c r="BG17">
        <v>0.182694</v>
      </c>
      <c r="BH17">
        <v>0.30917</v>
      </c>
      <c r="BI17">
        <v>0.38357400000000003</v>
      </c>
      <c r="BJ17">
        <v>0.42987399999999998</v>
      </c>
      <c r="BK17">
        <v>0.44035400000000002</v>
      </c>
      <c r="BL17">
        <v>0.43112099999999998</v>
      </c>
      <c r="BM17">
        <v>0.41732999999999998</v>
      </c>
      <c r="BN17">
        <v>0.41566900000000001</v>
      </c>
      <c r="BO17">
        <v>0.43665700000000002</v>
      </c>
      <c r="BP17">
        <v>0.48183100000000001</v>
      </c>
      <c r="BQ17">
        <v>0.54433200000000004</v>
      </c>
      <c r="BR17">
        <v>0.61611800000000005</v>
      </c>
      <c r="BS17">
        <v>0.69161099999999998</v>
      </c>
      <c r="BT17">
        <v>0.76744400000000002</v>
      </c>
      <c r="BU17">
        <v>0.84184000000000003</v>
      </c>
      <c r="BV17">
        <v>0.91408400000000001</v>
      </c>
      <c r="BW17">
        <v>0.98616999999999999</v>
      </c>
      <c r="BX17">
        <v>1.059237</v>
      </c>
      <c r="BY17">
        <v>1.1372819999999999</v>
      </c>
      <c r="BZ17">
        <v>1.2211160000000001</v>
      </c>
      <c r="CA17">
        <v>1.3144720000000001</v>
      </c>
      <c r="CB17">
        <v>1.415422</v>
      </c>
      <c r="CC17">
        <v>1.526632</v>
      </c>
      <c r="CD17">
        <v>1.6438950000000001</v>
      </c>
      <c r="CE17">
        <v>1.770993</v>
      </c>
      <c r="CF17">
        <v>1.9073910000000001</v>
      </c>
      <c r="CG17">
        <v>2.0629569999999999</v>
      </c>
      <c r="CH17">
        <v>2.2447300000000001</v>
      </c>
      <c r="CI17">
        <v>2.4683679999999999</v>
      </c>
      <c r="CJ17">
        <v>2.7427709999999998</v>
      </c>
      <c r="CK17">
        <v>3.0784729999999998</v>
      </c>
      <c r="CL17">
        <v>3.4720810000000002</v>
      </c>
      <c r="CM17">
        <v>3.9119489999999999</v>
      </c>
      <c r="CN17">
        <v>4.3700369999999999</v>
      </c>
      <c r="CO17">
        <v>4.8040089999999998</v>
      </c>
      <c r="CP17">
        <v>5.1657690000000001</v>
      </c>
      <c r="CQ17">
        <v>5.4012900000000004</v>
      </c>
      <c r="CR17">
        <v>5.4703889999999999</v>
      </c>
      <c r="CS17">
        <v>5.3482229999999999</v>
      </c>
      <c r="CT17">
        <v>5.0321740000000004</v>
      </c>
      <c r="CU17">
        <v>4.5550920000000001</v>
      </c>
      <c r="CV17">
        <v>3.9527389999999998</v>
      </c>
      <c r="CW17">
        <v>3.3004690000000001</v>
      </c>
      <c r="CX17">
        <v>2.6389089999999999</v>
      </c>
      <c r="CY17">
        <v>2.0382359999999999</v>
      </c>
      <c r="CZ17">
        <v>1.515433</v>
      </c>
      <c r="DA17">
        <v>1.101709</v>
      </c>
      <c r="DB17">
        <v>0.78912599999999999</v>
      </c>
      <c r="DC17">
        <v>0.57287399999999999</v>
      </c>
      <c r="DD17">
        <v>0.43059399999999998</v>
      </c>
      <c r="DE17">
        <v>0.34076200000000001</v>
      </c>
      <c r="DF17">
        <v>0.28102300000000002</v>
      </c>
      <c r="DG17">
        <v>0.235349</v>
      </c>
      <c r="DH17">
        <v>0.195081</v>
      </c>
      <c r="DI17">
        <v>0.13798099999999999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</row>
    <row r="18" spans="1:130" x14ac:dyDescent="0.2">
      <c r="A18" t="s">
        <v>46</v>
      </c>
      <c r="D18" t="s">
        <v>47</v>
      </c>
      <c r="E18" t="s">
        <v>33</v>
      </c>
      <c r="F18" t="s">
        <v>51</v>
      </c>
      <c r="G18" t="s">
        <v>52</v>
      </c>
      <c r="H18" t="s">
        <v>50</v>
      </c>
      <c r="I18">
        <v>1.56</v>
      </c>
      <c r="J18">
        <v>0.1</v>
      </c>
      <c r="K18" t="s">
        <v>37</v>
      </c>
      <c r="L18">
        <v>1.33</v>
      </c>
      <c r="M18" t="s">
        <v>38</v>
      </c>
      <c r="N18" t="s">
        <v>39</v>
      </c>
      <c r="O18">
        <v>0.1</v>
      </c>
      <c r="P18">
        <v>1000</v>
      </c>
      <c r="Q18" t="s">
        <v>40</v>
      </c>
      <c r="R18">
        <v>10.09</v>
      </c>
      <c r="S18">
        <v>0.95199999999999996</v>
      </c>
      <c r="T18">
        <v>1.78E-2</v>
      </c>
      <c r="U18">
        <v>3.1920000000000002</v>
      </c>
      <c r="V18" t="s">
        <v>41</v>
      </c>
      <c r="W18">
        <v>87.555999999999997</v>
      </c>
      <c r="X18">
        <v>1.1000000000000001</v>
      </c>
      <c r="Y18">
        <v>0.504</v>
      </c>
      <c r="Z18">
        <v>11.9</v>
      </c>
      <c r="AA18">
        <v>5.6109999999999998</v>
      </c>
      <c r="AB18">
        <v>58.06</v>
      </c>
      <c r="AC18">
        <v>190.95500000000001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0.166875</v>
      </c>
      <c r="BH18">
        <v>0.30653900000000001</v>
      </c>
      <c r="BI18">
        <v>0.371946</v>
      </c>
      <c r="BJ18">
        <v>0.42058200000000001</v>
      </c>
      <c r="BK18">
        <v>0.43002699999999999</v>
      </c>
      <c r="BL18">
        <v>0.42157800000000001</v>
      </c>
      <c r="BM18">
        <v>0.40835100000000002</v>
      </c>
      <c r="BN18">
        <v>0.40731400000000001</v>
      </c>
      <c r="BO18">
        <v>0.428647</v>
      </c>
      <c r="BP18">
        <v>0.47390500000000002</v>
      </c>
      <c r="BQ18">
        <v>0.53632299999999999</v>
      </c>
      <c r="BR18">
        <v>0.60800500000000002</v>
      </c>
      <c r="BS18">
        <v>0.68347999999999998</v>
      </c>
      <c r="BT18">
        <v>0.75944999999999996</v>
      </c>
      <c r="BU18">
        <v>0.83419900000000002</v>
      </c>
      <c r="BV18">
        <v>0.90704499999999999</v>
      </c>
      <c r="BW18">
        <v>0.97999400000000003</v>
      </c>
      <c r="BX18">
        <v>1.054149</v>
      </c>
      <c r="BY18">
        <v>1.133472</v>
      </c>
      <c r="BZ18">
        <v>1.2186729999999999</v>
      </c>
      <c r="CA18">
        <v>1.3134220000000001</v>
      </c>
      <c r="CB18">
        <v>1.4156569999999999</v>
      </c>
      <c r="CC18">
        <v>1.528003</v>
      </c>
      <c r="CD18">
        <v>1.64618</v>
      </c>
      <c r="CE18">
        <v>1.77403</v>
      </c>
      <c r="CF18">
        <v>1.9111050000000001</v>
      </c>
      <c r="CG18">
        <v>2.067453</v>
      </c>
      <c r="CH18">
        <v>2.2502460000000002</v>
      </c>
      <c r="CI18">
        <v>2.4751660000000002</v>
      </c>
      <c r="CJ18">
        <v>2.7508460000000001</v>
      </c>
      <c r="CK18">
        <v>3.08724</v>
      </c>
      <c r="CL18">
        <v>3.480051</v>
      </c>
      <c r="CM18">
        <v>3.9165679999999998</v>
      </c>
      <c r="CN18">
        <v>4.3677929999999998</v>
      </c>
      <c r="CO18">
        <v>4.7909439999999996</v>
      </c>
      <c r="CP18">
        <v>5.1382430000000001</v>
      </c>
      <c r="CQ18">
        <v>5.3570970000000004</v>
      </c>
      <c r="CR18">
        <v>5.4092060000000002</v>
      </c>
      <c r="CS18">
        <v>5.2724820000000001</v>
      </c>
      <c r="CT18">
        <v>4.9467049999999997</v>
      </c>
      <c r="CU18">
        <v>4.467295</v>
      </c>
      <c r="CV18">
        <v>3.8717290000000002</v>
      </c>
      <c r="CW18">
        <v>3.235703</v>
      </c>
      <c r="CX18">
        <v>2.599173</v>
      </c>
      <c r="CY18">
        <v>2.028505</v>
      </c>
      <c r="CZ18">
        <v>1.5372189999999999</v>
      </c>
      <c r="DA18">
        <v>1.151613</v>
      </c>
      <c r="DB18">
        <v>0.86155000000000004</v>
      </c>
      <c r="DC18">
        <v>0.66057699999999997</v>
      </c>
      <c r="DD18">
        <v>0.52657200000000004</v>
      </c>
      <c r="DE18">
        <v>0.43892100000000001</v>
      </c>
      <c r="DF18">
        <v>0.37594899999999998</v>
      </c>
      <c r="DG18">
        <v>0.32496999999999998</v>
      </c>
      <c r="DH18">
        <v>0.27246500000000001</v>
      </c>
      <c r="DI18">
        <v>0.198766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</row>
    <row r="19" spans="1:130" x14ac:dyDescent="0.2">
      <c r="A19" t="s">
        <v>46</v>
      </c>
      <c r="D19" t="s">
        <v>47</v>
      </c>
      <c r="E19" t="s">
        <v>33</v>
      </c>
      <c r="F19" t="s">
        <v>53</v>
      </c>
      <c r="G19" t="s">
        <v>54</v>
      </c>
      <c r="H19" t="s">
        <v>50</v>
      </c>
      <c r="I19">
        <v>1.56</v>
      </c>
      <c r="J19">
        <v>0.1</v>
      </c>
      <c r="K19" t="s">
        <v>37</v>
      </c>
      <c r="L19">
        <v>1.33</v>
      </c>
      <c r="M19" t="s">
        <v>38</v>
      </c>
      <c r="N19" t="s">
        <v>39</v>
      </c>
      <c r="O19">
        <v>0.1</v>
      </c>
      <c r="P19">
        <v>1000</v>
      </c>
      <c r="Q19" t="s">
        <v>40</v>
      </c>
      <c r="R19">
        <v>10.01</v>
      </c>
      <c r="S19">
        <v>0.94099999999999995</v>
      </c>
      <c r="T19">
        <v>1.7899999999999999E-2</v>
      </c>
      <c r="U19">
        <v>3.1859999999999999</v>
      </c>
      <c r="V19" t="s">
        <v>41</v>
      </c>
      <c r="W19">
        <v>87.361999999999995</v>
      </c>
      <c r="X19">
        <v>1.08</v>
      </c>
      <c r="Y19">
        <v>0.497</v>
      </c>
      <c r="Z19">
        <v>12.071999999999999</v>
      </c>
      <c r="AA19">
        <v>5.718</v>
      </c>
      <c r="AB19">
        <v>58.603000000000002</v>
      </c>
      <c r="AC19">
        <v>192.428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0.16177</v>
      </c>
      <c r="BH19">
        <v>0.29841099999999998</v>
      </c>
      <c r="BI19">
        <v>0.36298900000000001</v>
      </c>
      <c r="BJ19">
        <v>0.410831</v>
      </c>
      <c r="BK19">
        <v>0.420408</v>
      </c>
      <c r="BL19">
        <v>0.412464</v>
      </c>
      <c r="BM19">
        <v>0.39993400000000001</v>
      </c>
      <c r="BN19">
        <v>0.39948600000000001</v>
      </c>
      <c r="BO19">
        <v>0.42113200000000001</v>
      </c>
      <c r="BP19">
        <v>0.466422</v>
      </c>
      <c r="BQ19">
        <v>0.52870300000000003</v>
      </c>
      <c r="BR19">
        <v>0.60018800000000005</v>
      </c>
      <c r="BS19">
        <v>0.67544999999999999</v>
      </c>
      <c r="BT19">
        <v>0.75120799999999999</v>
      </c>
      <c r="BU19">
        <v>0.82575900000000002</v>
      </c>
      <c r="BV19">
        <v>0.89842</v>
      </c>
      <c r="BW19">
        <v>0.97120399999999996</v>
      </c>
      <c r="BX19">
        <v>1.045248</v>
      </c>
      <c r="BY19">
        <v>1.1245609999999999</v>
      </c>
      <c r="BZ19">
        <v>1.2099219999999999</v>
      </c>
      <c r="CA19">
        <v>1.3050889999999999</v>
      </c>
      <c r="CB19">
        <v>1.4080710000000001</v>
      </c>
      <c r="CC19">
        <v>1.521577</v>
      </c>
      <c r="CD19">
        <v>1.6412949999999999</v>
      </c>
      <c r="CE19">
        <v>1.7710109999999999</v>
      </c>
      <c r="CF19">
        <v>1.909975</v>
      </c>
      <c r="CG19">
        <v>2.0678359999999998</v>
      </c>
      <c r="CH19">
        <v>2.2511320000000001</v>
      </c>
      <c r="CI19">
        <v>2.4748579999999998</v>
      </c>
      <c r="CJ19">
        <v>2.7470439999999998</v>
      </c>
      <c r="CK19">
        <v>3.077302</v>
      </c>
      <c r="CL19">
        <v>3.4616319999999998</v>
      </c>
      <c r="CM19">
        <v>3.8883230000000002</v>
      </c>
      <c r="CN19">
        <v>4.3302189999999996</v>
      </c>
      <c r="CO19">
        <v>4.746982</v>
      </c>
      <c r="CP19">
        <v>5.0933479999999998</v>
      </c>
      <c r="CQ19">
        <v>5.3187600000000002</v>
      </c>
      <c r="CR19">
        <v>5.3859399999999997</v>
      </c>
      <c r="CS19">
        <v>5.2717960000000001</v>
      </c>
      <c r="CT19">
        <v>4.9738280000000001</v>
      </c>
      <c r="CU19">
        <v>4.5226509999999998</v>
      </c>
      <c r="CV19">
        <v>3.9514300000000002</v>
      </c>
      <c r="CW19">
        <v>3.3307869999999999</v>
      </c>
      <c r="CX19">
        <v>2.6983579999999998</v>
      </c>
      <c r="CY19">
        <v>2.1203270000000001</v>
      </c>
      <c r="CZ19">
        <v>1.6128400000000001</v>
      </c>
      <c r="DA19">
        <v>1.206998</v>
      </c>
      <c r="DB19">
        <v>0.89640900000000001</v>
      </c>
      <c r="DC19">
        <v>0.67735500000000004</v>
      </c>
      <c r="DD19">
        <v>0.52753899999999998</v>
      </c>
      <c r="DE19">
        <v>0.42524499999999998</v>
      </c>
      <c r="DF19">
        <v>0.347883</v>
      </c>
      <c r="DG19">
        <v>0.28287099999999998</v>
      </c>
      <c r="DH19">
        <v>0.22040999999999999</v>
      </c>
      <c r="DI19">
        <v>0.14837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</row>
    <row r="20" spans="1:130" x14ac:dyDescent="0.2">
      <c r="A20" t="s">
        <v>63</v>
      </c>
      <c r="BF20">
        <f t="shared" ref="AF20:CQ20" si="61">AVERAGE(BF17:BF19)</f>
        <v>1.8362666666666666E-2</v>
      </c>
      <c r="BG20">
        <f t="shared" si="61"/>
        <v>0.17044633333333334</v>
      </c>
      <c r="BH20">
        <f t="shared" si="61"/>
        <v>0.30470666666666668</v>
      </c>
      <c r="BI20">
        <f t="shared" si="61"/>
        <v>0.37283633333333333</v>
      </c>
      <c r="BJ20">
        <f t="shared" si="61"/>
        <v>0.420429</v>
      </c>
      <c r="BK20">
        <f t="shared" si="61"/>
        <v>0.43026300000000006</v>
      </c>
      <c r="BL20">
        <f t="shared" si="61"/>
        <v>0.42172100000000001</v>
      </c>
      <c r="BM20">
        <f t="shared" si="61"/>
        <v>0.40853833333333328</v>
      </c>
      <c r="BN20">
        <f t="shared" si="61"/>
        <v>0.40748966666666669</v>
      </c>
      <c r="BO20">
        <f t="shared" si="61"/>
        <v>0.42881200000000003</v>
      </c>
      <c r="BP20">
        <f t="shared" si="61"/>
        <v>0.47405266666666668</v>
      </c>
      <c r="BQ20">
        <f t="shared" si="61"/>
        <v>0.5364526666666668</v>
      </c>
      <c r="BR20">
        <f t="shared" si="61"/>
        <v>0.60810366666666671</v>
      </c>
      <c r="BS20">
        <f t="shared" si="61"/>
        <v>0.68351366666666669</v>
      </c>
      <c r="BT20">
        <f t="shared" si="61"/>
        <v>0.75936733333333339</v>
      </c>
      <c r="BU20">
        <f t="shared" si="61"/>
        <v>0.83393266666666666</v>
      </c>
      <c r="BV20">
        <f t="shared" si="61"/>
        <v>0.90651633333333326</v>
      </c>
      <c r="BW20">
        <f t="shared" si="61"/>
        <v>0.9791226666666667</v>
      </c>
      <c r="BX20">
        <f t="shared" si="61"/>
        <v>1.052878</v>
      </c>
      <c r="BY20">
        <f t="shared" si="61"/>
        <v>1.1317716666666666</v>
      </c>
      <c r="BZ20">
        <f t="shared" si="61"/>
        <v>1.2165703333333333</v>
      </c>
      <c r="CA20">
        <f t="shared" si="61"/>
        <v>1.3109943333333334</v>
      </c>
      <c r="CB20">
        <f t="shared" si="61"/>
        <v>1.4130500000000001</v>
      </c>
      <c r="CC20">
        <f t="shared" si="61"/>
        <v>1.525404</v>
      </c>
      <c r="CD20">
        <f t="shared" si="61"/>
        <v>1.6437899999999999</v>
      </c>
      <c r="CE20">
        <f t="shared" si="61"/>
        <v>1.7720113333333334</v>
      </c>
      <c r="CF20">
        <f t="shared" si="61"/>
        <v>1.9094903333333333</v>
      </c>
      <c r="CG20">
        <f t="shared" si="61"/>
        <v>2.0660819999999998</v>
      </c>
      <c r="CH20">
        <f t="shared" si="61"/>
        <v>2.248702666666667</v>
      </c>
      <c r="CI20">
        <f t="shared" si="61"/>
        <v>2.4727973333333328</v>
      </c>
      <c r="CJ20">
        <f t="shared" si="61"/>
        <v>2.7468869999999996</v>
      </c>
      <c r="CK20">
        <f t="shared" si="61"/>
        <v>3.0810049999999998</v>
      </c>
      <c r="CL20">
        <f t="shared" si="61"/>
        <v>3.4712546666666668</v>
      </c>
      <c r="CM20">
        <f t="shared" si="61"/>
        <v>3.9056133333333332</v>
      </c>
      <c r="CN20">
        <f t="shared" si="61"/>
        <v>4.3560163333333328</v>
      </c>
      <c r="CO20">
        <f t="shared" si="61"/>
        <v>4.7806449999999998</v>
      </c>
      <c r="CP20">
        <f t="shared" si="61"/>
        <v>5.1324533333333333</v>
      </c>
      <c r="CQ20">
        <f t="shared" si="61"/>
        <v>5.3590489999999997</v>
      </c>
      <c r="CR20">
        <f t="shared" ref="CR20:DZ20" si="62">AVERAGE(CR17:CR19)</f>
        <v>5.4218450000000002</v>
      </c>
      <c r="CS20">
        <f t="shared" si="62"/>
        <v>5.2975003333333337</v>
      </c>
      <c r="CT20">
        <f t="shared" si="62"/>
        <v>4.9842356666666667</v>
      </c>
      <c r="CU20">
        <f t="shared" si="62"/>
        <v>4.5150126666666663</v>
      </c>
      <c r="CV20">
        <f t="shared" si="62"/>
        <v>3.9252993333333333</v>
      </c>
      <c r="CW20">
        <f t="shared" si="62"/>
        <v>3.2889863333333338</v>
      </c>
      <c r="CX20">
        <f t="shared" si="62"/>
        <v>2.6454800000000001</v>
      </c>
      <c r="CY20">
        <f t="shared" si="62"/>
        <v>2.0623559999999999</v>
      </c>
      <c r="CZ20">
        <f t="shared" si="62"/>
        <v>1.5551640000000002</v>
      </c>
      <c r="DA20">
        <f t="shared" si="62"/>
        <v>1.15344</v>
      </c>
      <c r="DB20">
        <f t="shared" si="62"/>
        <v>0.84902833333333338</v>
      </c>
      <c r="DC20">
        <f t="shared" si="62"/>
        <v>0.6369353333333333</v>
      </c>
      <c r="DD20">
        <f t="shared" si="62"/>
        <v>0.49490166666666663</v>
      </c>
      <c r="DE20">
        <f t="shared" si="62"/>
        <v>0.40164266666666665</v>
      </c>
      <c r="DF20">
        <f t="shared" si="62"/>
        <v>0.3349516666666667</v>
      </c>
      <c r="DG20">
        <f t="shared" si="62"/>
        <v>0.28106333333333333</v>
      </c>
      <c r="DH20">
        <f t="shared" si="62"/>
        <v>0.22931866666666667</v>
      </c>
      <c r="DI20">
        <f t="shared" si="62"/>
        <v>0.16170566666666666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2026_SedStrat_MalvernData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Malvern_User</dc:creator>
  <cp:lastModifiedBy>Ethan Hoff</cp:lastModifiedBy>
  <dcterms:created xsi:type="dcterms:W3CDTF">2026-09-17T19:16:47Z</dcterms:created>
  <dcterms:modified xsi:type="dcterms:W3CDTF">2026-09-23T02:54:54Z</dcterms:modified>
</cp:coreProperties>
</file>