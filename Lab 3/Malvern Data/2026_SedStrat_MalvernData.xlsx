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2026_SedStrat_MalvernData" sheetId="1"/>
  </sheet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<sst xmlns="http://schemas.openxmlformats.org/spreadsheetml/2006/main" count="65" uniqueCount="65">
  <si>
    <t>Sample Name</t>
  </si>
  <si>
    <t>Sample source type</t>
  </si>
  <si>
    <t>Sample bulk lot ref</t>
  </si>
  <si>
    <t>SOP Name</t>
  </si>
  <si>
    <t>Operator name</t>
  </si>
  <si>
    <t>Measurement date and time</t>
  </si>
  <si>
    <t>Analysis date and time</t>
  </si>
  <si>
    <t>Particle name</t>
  </si>
  <si>
    <t>Particle refractive index</t>
  </si>
  <si>
    <t>Particle absorption index</t>
  </si>
  <si>
    <t>Dispersant name</t>
  </si>
  <si>
    <t>Dispersant refractive index</t>
  </si>
  <si>
    <t>Accessory name</t>
  </si>
  <si>
    <t xml:space="preserve">Analysis model </t>
  </si>
  <si>
    <t>Start result channel size</t>
  </si>
  <si>
    <t>Last result channel size</t>
  </si>
  <si>
    <t>Result emulation</t>
  </si>
  <si>
    <t>Obscuration</t>
  </si>
  <si>
    <t>Residual</t>
  </si>
  <si>
    <t>Concentration</t>
  </si>
  <si>
    <t>Span</t>
  </si>
  <si>
    <t>Result transform type</t>
  </si>
  <si>
    <t>D [4, 3] - Volume weighted mean</t>
  </si>
  <si>
    <t>Uniformity</t>
  </si>
  <si>
    <t>Specific surface area</t>
  </si>
  <si>
    <t xml:space="preserve">D [3, 2] - Surface weighted mean </t>
  </si>
  <si>
    <t>d (0.1)</t>
  </si>
  <si>
    <t>d (0.5)</t>
  </si>
  <si>
    <t>d (0.9)</t>
  </si>
  <si>
    <t>Result Between User Sizes (Sizes in um)</t>
  </si>
  <si>
    <t>Operator Notes</t>
  </si>
  <si>
    <t>2026SedStratGrp1</t>
  </si>
  <si>
    <t>Dirt SOP 3 times</t>
  </si>
  <si>
    <t>Malvern_User</t>
  </si>
  <si>
    <t>Thursday, September 17, 2026 1:51:36 PM</t>
  </si>
  <si>
    <t>Thursday, September 17, 2026 1:51:37 PM</t>
  </si>
  <si>
    <t>Dirt</t>
  </si>
  <si>
    <t>Water</t>
  </si>
  <si>
    <t>Hydro 2000MU (A)</t>
  </si>
  <si>
    <t>General purpose</t>
  </si>
  <si>
    <t>Off</t>
  </si>
  <si>
    <t>Volume</t>
  </si>
  <si>
    <t>Thursday, September 17, 2026 1:52:14 PM</t>
  </si>
  <si>
    <t>Thursday, September 17, 2026 1:52:15 PM</t>
  </si>
  <si>
    <t>Thursday, September 17, 2026 1:52:52 PM</t>
  </si>
  <si>
    <t>Thursday, September 17, 2026 1:52:53 PM</t>
  </si>
  <si>
    <t>Group 1</t>
  </si>
  <si>
    <t>SedStrat2026Grp2</t>
  </si>
  <si>
    <t>Silt SOP 3 times</t>
  </si>
  <si>
    <t>Thursday, September 17, 2026 1:11:54 PM</t>
  </si>
  <si>
    <t>Thursday, September 17, 2026 1:11:55 PM</t>
  </si>
  <si>
    <t>silt</t>
  </si>
  <si>
    <t>Thursday, September 17, 2026 1:12:32 PM</t>
  </si>
  <si>
    <t>Thursday, September 17, 2026 1:12:33 PM</t>
  </si>
  <si>
    <t>Thursday, September 17, 2026 1:13:10 PM</t>
  </si>
  <si>
    <t>Thursday, September 17, 2026 1:13:11 PM</t>
  </si>
  <si>
    <t>Group 2</t>
  </si>
  <si>
    <t>SedStrat2026Grp3</t>
  </si>
  <si>
    <t>Thursday, September 17, 2026 1:24:55 PM</t>
  </si>
  <si>
    <t>Thursday, September 17, 2026 1:24:56 PM</t>
  </si>
  <si>
    <t>Thursday, September 17, 2026 1:25:32 PM</t>
  </si>
  <si>
    <t>Thursday, September 17, 2026 1:25:34 PM</t>
  </si>
  <si>
    <t>Thursday, September 17, 2026 1:26:10 PM</t>
  </si>
  <si>
    <t>Thursday, September 17, 2026 1:26:11 PM</t>
  </si>
  <si>
    <t>Hoff-Reed Lab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</si>
</sst>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b val="0"/>
      <i val="0"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5" Type="http://schemas.microsoft.com/office/2022/11/relationships/FeaturePropertyBag" Target="featurePropertyBag/featurePropertyBag.xml"/><Relationship Id="rId6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3A2E2DD-BECE-4205-89C3-2C370FBDEE6F}" mc:Ignorable="x14ac xr xr2 xr3">
  <dimension ref="A1:EA20"/>
  <sheetViews>
    <sheetView topLeftCell="A1" workbookViewId="0" tabSelected="1">
      <selection activeCell="A20" sqref="A20"/>
    </sheetView>
  </sheetViews>
  <sheetFormatPr defaultRowHeight="15" defaultColWidth="8.8515625" customHeight="1"/>
  <sheetData>
    <row r="1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EA1" t="s">
        <v>30</v>
      </c>
    </row>
    <row r="2" ht="15" customHeight="1">
      <c r="AD2">
        <v>0.01</v>
      </c>
      <c r="AE2">
        <v>0.011482</v>
      </c>
      <c r="AF2">
        <v>0.013183</v>
      </c>
      <c r="AG2">
        <v>0.015136</v>
      </c>
      <c r="AH2">
        <v>0.017378</v>
      </c>
      <c r="AI2">
        <v>0.019953</v>
      </c>
      <c r="AJ2">
        <v>0.022909</v>
      </c>
      <c r="AK2">
        <v>0.026303</v>
      </c>
      <c r="AL2">
        <v>0.0302</v>
      </c>
      <c r="AM2">
        <v>0.034674</v>
      </c>
      <c r="AN2">
        <v>0.039811</v>
      </c>
      <c r="AO2">
        <v>0.045709</v>
      </c>
      <c r="AP2">
        <v>0.052481</v>
      </c>
      <c r="AQ2">
        <v>0.060256</v>
      </c>
      <c r="AR2">
        <v>0.069183</v>
      </c>
      <c r="AS2">
        <v>0.079433</v>
      </c>
      <c r="AT2">
        <v>0.091201</v>
      </c>
      <c r="AU2">
        <v>0.104713</v>
      </c>
      <c r="AV2">
        <v>0.120226</v>
      </c>
      <c r="AW2">
        <v>0.138038</v>
      </c>
      <c r="AX2">
        <v>0.158489</v>
      </c>
      <c r="AY2">
        <v>0.18197</v>
      </c>
      <c r="AZ2">
        <v>0.20893</v>
      </c>
      <c r="BA2">
        <v>0.239883</v>
      </c>
      <c r="BB2">
        <v>0.275423</v>
      </c>
      <c r="BC2">
        <v>0.316228</v>
      </c>
      <c r="BD2">
        <v>0.363078</v>
      </c>
      <c r="BE2">
        <v>0.416869</v>
      </c>
      <c r="BF2">
        <v>0.47863</v>
      </c>
      <c r="BG2">
        <v>0.549541</v>
      </c>
      <c r="BH2">
        <v>0.630957</v>
      </c>
      <c r="BI2">
        <v>0.724436</v>
      </c>
      <c r="BJ2">
        <v>0.831764</v>
      </c>
      <c r="BK2">
        <v>0.954993</v>
      </c>
      <c r="BL2">
        <v>1.096478</v>
      </c>
      <c r="BM2">
        <v>1.258925</v>
      </c>
      <c r="BN2">
        <v>1.44544</v>
      </c>
      <c r="BO2">
        <v>1.659587</v>
      </c>
      <c r="BP2">
        <v>1.905461</v>
      </c>
      <c r="BQ2">
        <v>2.187762</v>
      </c>
      <c r="BR2">
        <v>2.511886</v>
      </c>
      <c r="BS2">
        <v>2.884031</v>
      </c>
      <c r="BT2">
        <v>3.311311</v>
      </c>
      <c r="BU2">
        <v>3.801894</v>
      </c>
      <c r="BV2">
        <v>4.365158</v>
      </c>
      <c r="BW2">
        <v>5.011872</v>
      </c>
      <c r="BX2">
        <v>5.754399</v>
      </c>
      <c r="BY2">
        <v>6.606934</v>
      </c>
      <c r="BZ2">
        <v>7.585776</v>
      </c>
      <c r="CA2">
        <v>8.709636</v>
      </c>
      <c r="CB2">
        <v>10</v>
      </c>
      <c r="CC2">
        <v>11.481536</v>
      </c>
      <c r="CD2">
        <v>13.182567</v>
      </c>
      <c r="CE2">
        <v>15.135612</v>
      </c>
      <c r="CF2">
        <v>17.378008</v>
      </c>
      <c r="CG2">
        <v>19.952623</v>
      </c>
      <c r="CH2">
        <v>22.908677</v>
      </c>
      <c r="CI2">
        <v>26.30268</v>
      </c>
      <c r="CJ2">
        <v>30.199517</v>
      </c>
      <c r="CK2">
        <v>34.673685</v>
      </c>
      <c r="CL2">
        <v>39.810717</v>
      </c>
      <c r="CM2">
        <v>45.708819</v>
      </c>
      <c r="CN2">
        <v>52.480746</v>
      </c>
      <c r="CO2">
        <v>60.255959</v>
      </c>
      <c r="CP2">
        <v>69.183097</v>
      </c>
      <c r="CQ2">
        <v>79.432823</v>
      </c>
      <c r="CR2">
        <v>91.201084</v>
      </c>
      <c r="CS2">
        <v>104.712855</v>
      </c>
      <c r="CT2">
        <v>120.226443</v>
      </c>
      <c r="CU2">
        <v>138.038426</v>
      </c>
      <c r="CV2">
        <v>158.489319</v>
      </c>
      <c r="CW2">
        <v>181.970086</v>
      </c>
      <c r="CX2">
        <v>208.929613</v>
      </c>
      <c r="CY2">
        <v>239.883292</v>
      </c>
      <c r="CZ2">
        <v>275.42287</v>
      </c>
      <c r="DA2">
        <v>316.227766</v>
      </c>
      <c r="DB2">
        <v>363.078055</v>
      </c>
      <c r="DC2">
        <v>416.869383</v>
      </c>
      <c r="DD2">
        <v>478.630092</v>
      </c>
      <c r="DE2">
        <v>549.540874</v>
      </c>
      <c r="DF2">
        <v>630.957344</v>
      </c>
      <c r="DG2">
        <v>724.43596</v>
      </c>
      <c r="DH2">
        <v>831.763771</v>
      </c>
      <c r="DI2">
        <v>954.992586</v>
      </c>
      <c r="DJ2">
        <v>1096.478196</v>
      </c>
      <c r="DK2">
        <v>1258.925412</v>
      </c>
      <c r="DL2">
        <v>1445.439771</v>
      </c>
      <c r="DM2">
        <v>1659.586907</v>
      </c>
      <c r="DN2">
        <v>1905.460718</v>
      </c>
      <c r="DO2">
        <v>2187.761624</v>
      </c>
      <c r="DP2">
        <v>2511.886432</v>
      </c>
      <c r="DQ2">
        <v>2884.031503</v>
      </c>
      <c r="DR2">
        <v>3311.311215</v>
      </c>
      <c r="DS2">
        <v>3801.893963</v>
      </c>
      <c r="DT2">
        <v>4365.158322</v>
      </c>
      <c r="DU2">
        <v>5011.872336</v>
      </c>
      <c r="DV2">
        <v>5754.399373</v>
      </c>
      <c r="DW2">
        <v>6606.93448</v>
      </c>
      <c r="DX2">
        <v>7585.77575</v>
      </c>
      <c r="DY2">
        <v>8709.6359</v>
      </c>
      <c r="DZ2">
        <v>10000</v>
      </c>
    </row>
    <row r="3" ht="15" customHeight="1">
      <c r="A3" s="1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>
        <v>1.56</v>
      </c>
      <c r="J3">
        <v>0.1</v>
      </c>
      <c r="K3" t="s">
        <v>37</v>
      </c>
      <c r="L3">
        <v>1.33</v>
      </c>
      <c r="M3" t="s">
        <v>38</v>
      </c>
      <c r="N3" t="s">
        <v>39</v>
      </c>
      <c r="O3">
        <v>0.1</v>
      </c>
      <c r="P3">
        <v>1000</v>
      </c>
      <c r="Q3" t="s">
        <v>40</v>
      </c>
      <c r="R3">
        <v>9.11</v>
      </c>
      <c r="S3">
        <v>1.283</v>
      </c>
      <c r="T3">
        <v>0.0114</v>
      </c>
      <c r="U3">
        <v>4.71</v>
      </c>
      <c r="V3" t="s">
        <v>41</v>
      </c>
      <c r="W3">
        <v>69.38</v>
      </c>
      <c r="X3">
        <v>1.8</v>
      </c>
      <c r="Y3">
        <v>0.705</v>
      </c>
      <c r="Z3">
        <v>8.51</v>
      </c>
      <c r="AA3">
        <v>3.617</v>
      </c>
      <c r="AB3">
        <v>31.284</v>
      </c>
      <c r="AC3">
        <v>150.962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0.222356</v>
      </c>
      <c r="BH3">
        <v>0.423489</v>
      </c>
      <c r="BI3">
        <v>0.525407</v>
      </c>
      <c r="BJ3">
        <v>0.59986</v>
      </c>
      <c r="BK3">
        <v>0.618816</v>
      </c>
      <c r="BL3">
        <v>0.611021</v>
      </c>
      <c r="BM3">
        <v>0.595543</v>
      </c>
      <c r="BN3">
        <v>0.596449</v>
      </c>
      <c r="BO3">
        <v>0.628207</v>
      </c>
      <c r="BP3">
        <v>0.692931</v>
      </c>
      <c r="BQ3">
        <v>0.780864</v>
      </c>
      <c r="BR3">
        <v>0.880757</v>
      </c>
      <c r="BS3">
        <v>0.985051</v>
      </c>
      <c r="BT3">
        <v>1.089561</v>
      </c>
      <c r="BU3">
        <v>1.192654</v>
      </c>
      <c r="BV3">
        <v>1.294678</v>
      </c>
      <c r="BW3">
        <v>1.400421</v>
      </c>
      <c r="BX3">
        <v>1.514049</v>
      </c>
      <c r="BY3">
        <v>1.644622</v>
      </c>
      <c r="BZ3">
        <v>1.79614</v>
      </c>
      <c r="CA3">
        <v>1.977481</v>
      </c>
      <c r="CB3">
        <v>2.185818</v>
      </c>
      <c r="CC3">
        <v>2.425671</v>
      </c>
      <c r="CD3">
        <v>2.683587</v>
      </c>
      <c r="CE3">
        <v>2.957995</v>
      </c>
      <c r="CF3">
        <v>3.230954</v>
      </c>
      <c r="CG3">
        <v>3.498266</v>
      </c>
      <c r="CH3">
        <v>3.744944</v>
      </c>
      <c r="CI3">
        <v>3.966526</v>
      </c>
      <c r="CJ3">
        <v>4.151358</v>
      </c>
      <c r="CK3">
        <v>4.292005</v>
      </c>
      <c r="CL3">
        <v>4.376539</v>
      </c>
      <c r="CM3">
        <v>4.393978</v>
      </c>
      <c r="CN3">
        <v>4.333771</v>
      </c>
      <c r="CO3">
        <v>4.189325</v>
      </c>
      <c r="CP3">
        <v>3.95976</v>
      </c>
      <c r="CQ3">
        <v>3.655629</v>
      </c>
      <c r="CR3">
        <v>3.289965</v>
      </c>
      <c r="CS3">
        <v>2.890874</v>
      </c>
      <c r="CT3">
        <v>2.47629</v>
      </c>
      <c r="CU3">
        <v>2.079276</v>
      </c>
      <c r="CV3">
        <v>1.711596</v>
      </c>
      <c r="CW3">
        <v>1.398887</v>
      </c>
      <c r="CX3">
        <v>1.140697</v>
      </c>
      <c r="CY3">
        <v>0.946792</v>
      </c>
      <c r="CZ3">
        <v>0.80636</v>
      </c>
      <c r="DA3">
        <v>0.715027</v>
      </c>
      <c r="DB3">
        <v>0.660998</v>
      </c>
      <c r="DC3">
        <v>0.634436</v>
      </c>
      <c r="DD3">
        <v>0.621874</v>
      </c>
      <c r="DE3">
        <v>0.608522</v>
      </c>
      <c r="DF3">
        <v>0.579962</v>
      </c>
      <c r="DG3">
        <v>0.531797</v>
      </c>
      <c r="DH3">
        <v>0.456568</v>
      </c>
      <c r="DI3">
        <v>0.333594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</row>
    <row r="4" ht="15" customHeight="1">
      <c r="A4" s="1" t="s">
        <v>31</v>
      </c>
      <c r="D4" t="s">
        <v>32</v>
      </c>
      <c r="E4" t="s">
        <v>33</v>
      </c>
      <c r="F4" t="s">
        <v>42</v>
      </c>
      <c r="G4" t="s">
        <v>43</v>
      </c>
      <c r="H4" t="s">
        <v>36</v>
      </c>
      <c r="I4">
        <v>1.56</v>
      </c>
      <c r="J4">
        <v>0.1</v>
      </c>
      <c r="K4" t="s">
        <v>37</v>
      </c>
      <c r="L4">
        <v>1.33</v>
      </c>
      <c r="M4" t="s">
        <v>38</v>
      </c>
      <c r="N4" t="s">
        <v>39</v>
      </c>
      <c r="O4">
        <v>0.1</v>
      </c>
      <c r="P4">
        <v>1000</v>
      </c>
      <c r="Q4" t="s">
        <v>40</v>
      </c>
      <c r="R4">
        <v>8.95</v>
      </c>
      <c r="S4">
        <v>1.277</v>
      </c>
      <c r="T4">
        <v>0.0112</v>
      </c>
      <c r="U4">
        <v>4.617</v>
      </c>
      <c r="V4" t="s">
        <v>41</v>
      </c>
      <c r="W4">
        <v>65.919</v>
      </c>
      <c r="X4">
        <v>1.71</v>
      </c>
      <c r="Y4">
        <v>0.705</v>
      </c>
      <c r="Z4">
        <v>8.512</v>
      </c>
      <c r="AA4">
        <v>3.631</v>
      </c>
      <c r="AB4">
        <v>30.944</v>
      </c>
      <c r="AC4">
        <v>146.502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0.219528</v>
      </c>
      <c r="BH4">
        <v>0.420543</v>
      </c>
      <c r="BI4">
        <v>0.523266</v>
      </c>
      <c r="BJ4">
        <v>0.597694</v>
      </c>
      <c r="BK4">
        <v>0.616573</v>
      </c>
      <c r="BL4">
        <v>0.608457</v>
      </c>
      <c r="BM4">
        <v>0.592636</v>
      </c>
      <c r="BN4">
        <v>0.593277</v>
      </c>
      <c r="BO4">
        <v>0.624956</v>
      </c>
      <c r="BP4">
        <v>0.689819</v>
      </c>
      <c r="BQ4">
        <v>0.7781</v>
      </c>
      <c r="BR4">
        <v>0.878543</v>
      </c>
      <c r="BS4">
        <v>0.983605</v>
      </c>
      <c r="BT4">
        <v>1.089122</v>
      </c>
      <c r="BU4">
        <v>1.1935</v>
      </c>
      <c r="BV4">
        <v>1.297123</v>
      </c>
      <c r="BW4">
        <v>1.404847</v>
      </c>
      <c r="BX4">
        <v>1.52085</v>
      </c>
      <c r="BY4">
        <v>1.654246</v>
      </c>
      <c r="BZ4">
        <v>1.808954</v>
      </c>
      <c r="CA4">
        <v>1.99388</v>
      </c>
      <c r="CB4">
        <v>2.206041</v>
      </c>
      <c r="CC4">
        <v>2.449996</v>
      </c>
      <c r="CD4">
        <v>2.712069</v>
      </c>
      <c r="CE4">
        <v>2.990683</v>
      </c>
      <c r="CF4">
        <v>3.267592</v>
      </c>
      <c r="CG4">
        <v>3.538378</v>
      </c>
      <c r="CH4">
        <v>3.78751</v>
      </c>
      <c r="CI4">
        <v>4.009961</v>
      </c>
      <c r="CJ4">
        <v>4.193461</v>
      </c>
      <c r="CK4">
        <v>4.330103</v>
      </c>
      <c r="CL4">
        <v>4.407828</v>
      </c>
      <c r="CM4">
        <v>4.415941</v>
      </c>
      <c r="CN4">
        <v>4.344779</v>
      </c>
      <c r="CO4">
        <v>4.18918</v>
      </c>
      <c r="CP4">
        <v>3.949952</v>
      </c>
      <c r="CQ4">
        <v>3.639361</v>
      </c>
      <c r="CR4">
        <v>3.271565</v>
      </c>
      <c r="CS4">
        <v>2.875133</v>
      </c>
      <c r="CT4">
        <v>2.467581</v>
      </c>
      <c r="CU4">
        <v>2.080577</v>
      </c>
      <c r="CV4">
        <v>1.724487</v>
      </c>
      <c r="CW4">
        <v>1.42301</v>
      </c>
      <c r="CX4">
        <v>1.174556</v>
      </c>
      <c r="CY4">
        <v>0.987209</v>
      </c>
      <c r="CZ4">
        <v>0.848624</v>
      </c>
      <c r="DA4">
        <v>0.752249</v>
      </c>
      <c r="DB4">
        <v>0.684205</v>
      </c>
      <c r="DC4">
        <v>0.634187</v>
      </c>
      <c r="DD4">
        <v>0.589974</v>
      </c>
      <c r="DE4">
        <v>0.541343</v>
      </c>
      <c r="DF4">
        <v>0.479781</v>
      </c>
      <c r="DG4">
        <v>0.406722</v>
      </c>
      <c r="DH4">
        <v>0.320428</v>
      </c>
      <c r="DI4">
        <v>0.216015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</row>
    <row r="5" ht="15" customHeight="1">
      <c r="A5" s="1" t="s">
        <v>31</v>
      </c>
      <c r="D5" t="s">
        <v>32</v>
      </c>
      <c r="E5" t="s">
        <v>33</v>
      </c>
      <c r="F5" t="s">
        <v>44</v>
      </c>
      <c r="G5" t="s">
        <v>45</v>
      </c>
      <c r="H5" t="s">
        <v>36</v>
      </c>
      <c r="I5">
        <v>1.56</v>
      </c>
      <c r="J5">
        <v>0.1</v>
      </c>
      <c r="K5" t="s">
        <v>37</v>
      </c>
      <c r="L5">
        <v>1.33</v>
      </c>
      <c r="M5" t="s">
        <v>38</v>
      </c>
      <c r="N5" t="s">
        <v>39</v>
      </c>
      <c r="O5">
        <v>0.1</v>
      </c>
      <c r="P5">
        <v>1000</v>
      </c>
      <c r="Q5" t="s">
        <v>40</v>
      </c>
      <c r="R5">
        <v>8.84</v>
      </c>
      <c r="S5">
        <v>1.273</v>
      </c>
      <c r="T5">
        <v>0.0112</v>
      </c>
      <c r="U5">
        <v>4.674</v>
      </c>
      <c r="V5" t="s">
        <v>41</v>
      </c>
      <c r="W5">
        <v>69.65</v>
      </c>
      <c r="X5">
        <v>1.82</v>
      </c>
      <c r="Y5">
        <v>0.699</v>
      </c>
      <c r="Z5">
        <v>8.589</v>
      </c>
      <c r="AA5">
        <v>3.678</v>
      </c>
      <c r="AB5">
        <v>31.167</v>
      </c>
      <c r="AC5">
        <v>149.356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0.215228</v>
      </c>
      <c r="BH5">
        <v>0.414268</v>
      </c>
      <c r="BI5">
        <v>0.516728</v>
      </c>
      <c r="BJ5">
        <v>0.590571</v>
      </c>
      <c r="BK5">
        <v>0.609394</v>
      </c>
      <c r="BL5">
        <v>0.601312</v>
      </c>
      <c r="BM5">
        <v>0.585574</v>
      </c>
      <c r="BN5">
        <v>0.586165</v>
      </c>
      <c r="BO5">
        <v>0.617573</v>
      </c>
      <c r="BP5">
        <v>0.681933</v>
      </c>
      <c r="BQ5">
        <v>0.769559</v>
      </c>
      <c r="BR5">
        <v>0.869313</v>
      </c>
      <c r="BS5">
        <v>0.973787</v>
      </c>
      <c r="BT5">
        <v>1.078938</v>
      </c>
      <c r="BU5">
        <v>1.18325</v>
      </c>
      <c r="BV5">
        <v>1.287117</v>
      </c>
      <c r="BW5">
        <v>1.395372</v>
      </c>
      <c r="BX5">
        <v>1.512129</v>
      </c>
      <c r="BY5">
        <v>1.646457</v>
      </c>
      <c r="BZ5">
        <v>1.802204</v>
      </c>
      <c r="CA5">
        <v>1.988231</v>
      </c>
      <c r="CB5">
        <v>2.201416</v>
      </c>
      <c r="CC5">
        <v>2.446194</v>
      </c>
      <c r="CD5">
        <v>2.708679</v>
      </c>
      <c r="CE5">
        <v>2.987129</v>
      </c>
      <c r="CF5">
        <v>3.263173</v>
      </c>
      <c r="CG5">
        <v>3.532356</v>
      </c>
      <c r="CH5">
        <v>3.779362</v>
      </c>
      <c r="CI5">
        <v>3.999605</v>
      </c>
      <c r="CJ5">
        <v>4.181574</v>
      </c>
      <c r="CK5">
        <v>4.318178</v>
      </c>
      <c r="CL5">
        <v>4.397983</v>
      </c>
      <c r="CM5">
        <v>4.410433</v>
      </c>
      <c r="CN5">
        <v>4.345348</v>
      </c>
      <c r="CO5">
        <v>4.196401</v>
      </c>
      <c r="CP5">
        <v>3.962831</v>
      </c>
      <c r="CQ5">
        <v>3.655107</v>
      </c>
      <c r="CR5">
        <v>3.285824</v>
      </c>
      <c r="CS5">
        <v>2.882489</v>
      </c>
      <c r="CT5">
        <v>2.462136</v>
      </c>
      <c r="CU5">
        <v>2.057354</v>
      </c>
      <c r="CV5">
        <v>1.679911</v>
      </c>
      <c r="CW5">
        <v>1.357251</v>
      </c>
      <c r="CX5">
        <v>1.091507</v>
      </c>
      <c r="CY5">
        <v>0.89572</v>
      </c>
      <c r="CZ5">
        <v>0.760647</v>
      </c>
      <c r="DA5">
        <v>0.68095</v>
      </c>
      <c r="DB5">
        <v>0.642227</v>
      </c>
      <c r="DC5">
        <v>0.631036</v>
      </c>
      <c r="DD5">
        <v>0.631661</v>
      </c>
      <c r="DE5">
        <v>0.628003</v>
      </c>
      <c r="DF5">
        <v>0.605453</v>
      </c>
      <c r="DG5">
        <v>0.559735</v>
      </c>
      <c r="DH5">
        <v>0.483168</v>
      </c>
      <c r="DI5">
        <v>0.354055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</row>
    <row r="6" ht="15" customHeight="1">
      <c r="A6" s="1" t="s">
        <v>46</v>
      </c>
      <c r="BG6">
        <f t="shared" si="0" ref="BG6:DZ6">AVERAGE(BG3:BG5)</f>
        <v>0.21903733333333333</v>
      </c>
      <c r="BH6">
        <f t="shared" si="0"/>
        <v>0.4194333333333333</v>
      </c>
      <c r="BI6">
        <f t="shared" si="0"/>
        <v>0.5218003333333333</v>
      </c>
      <c r="BJ6">
        <f t="shared" si="0"/>
        <v>0.5960416666666666</v>
      </c>
      <c r="BK6">
        <f t="shared" si="0"/>
        <v>0.6149276666666667</v>
      </c>
      <c r="BL6">
        <f t="shared" si="0"/>
        <v>0.6069300000000001</v>
      </c>
      <c r="BM6">
        <f t="shared" si="0"/>
        <v>0.5912510000000001</v>
      </c>
      <c r="BN6">
        <f t="shared" si="0"/>
        <v>0.5919636666666667</v>
      </c>
      <c r="BO6">
        <f t="shared" si="0"/>
        <v>0.6235786666666666</v>
      </c>
      <c r="BP6">
        <f t="shared" si="0"/>
        <v>0.6882276666666667</v>
      </c>
      <c r="BQ6">
        <f t="shared" si="0"/>
        <v>0.7761743333333334</v>
      </c>
      <c r="BR6">
        <f t="shared" si="0"/>
        <v>0.8762043333333334</v>
      </c>
      <c r="BS6">
        <f t="shared" si="0"/>
        <v>0.9808143333333333</v>
      </c>
      <c r="BT6">
        <f t="shared" si="0"/>
        <v>1.0858736666666666</v>
      </c>
      <c r="BU6">
        <f t="shared" si="0"/>
        <v>1.1898013333333335</v>
      </c>
      <c r="BV6">
        <f t="shared" si="0"/>
        <v>1.2929726666666668</v>
      </c>
      <c r="BW6">
        <f t="shared" si="0"/>
        <v>1.4002133333333333</v>
      </c>
      <c r="BX6">
        <f t="shared" si="0"/>
        <v>1.515676</v>
      </c>
      <c r="BY6">
        <f t="shared" si="0"/>
        <v>1.6484416666666668</v>
      </c>
      <c r="BZ6">
        <f t="shared" si="0"/>
        <v>1.8024326666666666</v>
      </c>
      <c r="CA6">
        <f t="shared" si="0"/>
        <v>1.9865306666666667</v>
      </c>
      <c r="CB6">
        <f t="shared" si="0"/>
        <v>2.1977583333333333</v>
      </c>
      <c r="CC6">
        <f t="shared" si="0"/>
        <v>2.4406203333333334</v>
      </c>
      <c r="CD6">
        <f t="shared" si="0"/>
        <v>2.701445</v>
      </c>
      <c r="CE6">
        <f t="shared" si="0"/>
        <v>2.9786023333333334</v>
      </c>
      <c r="CF6">
        <f t="shared" si="0"/>
        <v>3.253906333333333</v>
      </c>
      <c r="CG6">
        <f t="shared" si="0"/>
        <v>3.5229999999999997</v>
      </c>
      <c r="CH6">
        <f t="shared" si="0"/>
        <v>3.7706053333333336</v>
      </c>
      <c r="CI6">
        <f t="shared" si="0"/>
        <v>3.9920306666666665</v>
      </c>
      <c r="CJ6">
        <f t="shared" si="0"/>
        <v>4.175464333333334</v>
      </c>
      <c r="CK6">
        <f t="shared" si="0"/>
        <v>4.313428666666667</v>
      </c>
      <c r="CL6">
        <f t="shared" si="0"/>
        <v>4.394116666666666</v>
      </c>
      <c r="CM6">
        <f t="shared" si="0"/>
        <v>4.406784000000001</v>
      </c>
      <c r="CN6">
        <f t="shared" si="0"/>
        <v>4.341299333333333</v>
      </c>
      <c r="CO6">
        <f t="shared" si="0"/>
        <v>4.191635333333333</v>
      </c>
      <c r="CP6">
        <f t="shared" si="0"/>
        <v>3.9575143333333336</v>
      </c>
      <c r="CQ6">
        <f t="shared" si="0"/>
        <v>3.6500323333333333</v>
      </c>
      <c r="CR6">
        <f t="shared" si="0"/>
        <v>3.282451333333333</v>
      </c>
      <c r="CS6">
        <f t="shared" si="0"/>
        <v>2.882832</v>
      </c>
      <c r="CT6">
        <f t="shared" si="0"/>
        <v>2.468669</v>
      </c>
      <c r="CU6">
        <f t="shared" si="0"/>
        <v>2.0724023333333332</v>
      </c>
      <c r="CV6">
        <f t="shared" si="0"/>
        <v>1.7053313333333333</v>
      </c>
      <c r="CW6">
        <f t="shared" si="0"/>
        <v>1.3930493333333331</v>
      </c>
      <c r="CX6">
        <f t="shared" si="0"/>
        <v>1.1355866666666667</v>
      </c>
      <c r="CY6">
        <f t="shared" si="0"/>
        <v>0.9432403333333332</v>
      </c>
      <c r="CZ6">
        <f t="shared" si="0"/>
        <v>0.8052103333333333</v>
      </c>
      <c r="DA6">
        <f t="shared" si="0"/>
        <v>0.7160753333333334</v>
      </c>
      <c r="DB6">
        <f t="shared" si="0"/>
        <v>0.6624766666666666</v>
      </c>
      <c r="DC6">
        <f t="shared" si="0"/>
        <v>0.6332196666666666</v>
      </c>
      <c r="DD6">
        <f t="shared" si="0"/>
        <v>0.614503</v>
      </c>
      <c r="DE6">
        <f t="shared" si="0"/>
        <v>0.5926226666666667</v>
      </c>
      <c r="DF6">
        <f t="shared" si="0"/>
        <v>0.5550653333333334</v>
      </c>
      <c r="DG6">
        <f t="shared" si="0"/>
        <v>0.4994179999999999</v>
      </c>
      <c r="DH6">
        <f t="shared" si="0"/>
        <v>0.4200546666666667</v>
      </c>
      <c r="DI6">
        <f t="shared" si="0"/>
        <v>0.30122133333333334</v>
      </c>
      <c r="DZ6">
        <f t="shared" si="0"/>
        <v>0</v>
      </c>
    </row>
    <row r="8" ht="15" customHeight="1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N8" t="s">
        <v>13</v>
      </c>
      <c r="O8" t="s">
        <v>14</v>
      </c>
      <c r="P8" t="s">
        <v>15</v>
      </c>
      <c r="Q8" t="s">
        <v>16</v>
      </c>
      <c r="R8" t="s">
        <v>17</v>
      </c>
      <c r="S8" t="s">
        <v>18</v>
      </c>
      <c r="T8" t="s">
        <v>19</v>
      </c>
      <c r="U8" t="s">
        <v>20</v>
      </c>
      <c r="V8" t="s">
        <v>21</v>
      </c>
      <c r="W8" t="s">
        <v>22</v>
      </c>
      <c r="X8" t="s">
        <v>23</v>
      </c>
      <c r="Y8" t="s">
        <v>24</v>
      </c>
      <c r="Z8" t="s">
        <v>25</v>
      </c>
      <c r="AA8" t="s">
        <v>26</v>
      </c>
      <c r="AB8" t="s">
        <v>27</v>
      </c>
      <c r="AC8" t="s">
        <v>28</v>
      </c>
      <c r="AD8" t="s">
        <v>29</v>
      </c>
      <c r="EA8" t="s">
        <v>30</v>
      </c>
    </row>
    <row r="9" ht="15" customHeight="1">
      <c r="AD9">
        <v>0.01</v>
      </c>
      <c r="AE9">
        <v>0.011482</v>
      </c>
      <c r="AF9">
        <v>0.013183</v>
      </c>
      <c r="AG9">
        <v>0.015136</v>
      </c>
      <c r="AH9">
        <v>0.017378</v>
      </c>
      <c r="AI9">
        <v>0.019953</v>
      </c>
      <c r="AJ9">
        <v>0.022909</v>
      </c>
      <c r="AK9">
        <v>0.026303</v>
      </c>
      <c r="AL9">
        <v>0.0302</v>
      </c>
      <c r="AM9">
        <v>0.034674</v>
      </c>
      <c r="AN9">
        <v>0.039811</v>
      </c>
      <c r="AO9">
        <v>0.045709</v>
      </c>
      <c r="AP9">
        <v>0.052481</v>
      </c>
      <c r="AQ9">
        <v>0.060256</v>
      </c>
      <c r="AR9">
        <v>0.069183</v>
      </c>
      <c r="AS9">
        <v>0.079433</v>
      </c>
      <c r="AT9">
        <v>0.091201</v>
      </c>
      <c r="AU9">
        <v>0.104713</v>
      </c>
      <c r="AV9">
        <v>0.120226</v>
      </c>
      <c r="AW9">
        <v>0.138038</v>
      </c>
      <c r="AX9">
        <v>0.158489</v>
      </c>
      <c r="AY9">
        <v>0.18197</v>
      </c>
      <c r="AZ9">
        <v>0.20893</v>
      </c>
      <c r="BA9">
        <v>0.239883</v>
      </c>
      <c r="BB9">
        <v>0.275423</v>
      </c>
      <c r="BC9">
        <v>0.316228</v>
      </c>
      <c r="BD9">
        <v>0.363078</v>
      </c>
      <c r="BE9">
        <v>0.416869</v>
      </c>
      <c r="BF9">
        <v>0.47863</v>
      </c>
      <c r="BG9">
        <v>0.549541</v>
      </c>
      <c r="BH9">
        <v>0.630957</v>
      </c>
      <c r="BI9">
        <v>0.724436</v>
      </c>
      <c r="BJ9">
        <v>0.831764</v>
      </c>
      <c r="BK9">
        <v>0.954993</v>
      </c>
      <c r="BL9">
        <v>1.096478</v>
      </c>
      <c r="BM9">
        <v>1.258925</v>
      </c>
      <c r="BN9">
        <v>1.44544</v>
      </c>
      <c r="BO9">
        <v>1.659587</v>
      </c>
      <c r="BP9">
        <v>1.905461</v>
      </c>
      <c r="BQ9">
        <v>2.187762</v>
      </c>
      <c r="BR9">
        <v>2.511886</v>
      </c>
      <c r="BS9">
        <v>2.884031</v>
      </c>
      <c r="BT9">
        <v>3.311311</v>
      </c>
      <c r="BU9">
        <v>3.801894</v>
      </c>
      <c r="BV9">
        <v>4.365158</v>
      </c>
      <c r="BW9">
        <v>5.011872</v>
      </c>
      <c r="BX9">
        <v>5.754399</v>
      </c>
      <c r="BY9">
        <v>6.606934</v>
      </c>
      <c r="BZ9">
        <v>7.585776</v>
      </c>
      <c r="CA9">
        <v>8.709636</v>
      </c>
      <c r="CB9">
        <v>10</v>
      </c>
      <c r="CC9">
        <v>11.481536</v>
      </c>
      <c r="CD9">
        <v>13.182567</v>
      </c>
      <c r="CE9">
        <v>15.135612</v>
      </c>
      <c r="CF9">
        <v>17.378008</v>
      </c>
      <c r="CG9">
        <v>19.952623</v>
      </c>
      <c r="CH9">
        <v>22.908677</v>
      </c>
      <c r="CI9">
        <v>26.30268</v>
      </c>
      <c r="CJ9">
        <v>30.199517</v>
      </c>
      <c r="CK9">
        <v>34.673685</v>
      </c>
      <c r="CL9">
        <v>39.810717</v>
      </c>
      <c r="CM9">
        <v>45.708819</v>
      </c>
      <c r="CN9">
        <v>52.480746</v>
      </c>
      <c r="CO9">
        <v>60.255959</v>
      </c>
      <c r="CP9">
        <v>69.183097</v>
      </c>
      <c r="CQ9">
        <v>79.432823</v>
      </c>
      <c r="CR9">
        <v>91.201084</v>
      </c>
      <c r="CS9">
        <v>104.712855</v>
      </c>
      <c r="CT9">
        <v>120.226443</v>
      </c>
      <c r="CU9">
        <v>138.038426</v>
      </c>
      <c r="CV9">
        <v>158.489319</v>
      </c>
      <c r="CW9">
        <v>181.970086</v>
      </c>
      <c r="CX9">
        <v>208.929613</v>
      </c>
      <c r="CY9">
        <v>239.883292</v>
      </c>
      <c r="CZ9">
        <v>275.42287</v>
      </c>
      <c r="DA9">
        <v>316.227766</v>
      </c>
      <c r="DB9">
        <v>363.078055</v>
      </c>
      <c r="DC9">
        <v>416.869383</v>
      </c>
      <c r="DD9">
        <v>478.630092</v>
      </c>
      <c r="DE9">
        <v>549.540874</v>
      </c>
      <c r="DF9">
        <v>630.957344</v>
      </c>
      <c r="DG9">
        <v>724.43596</v>
      </c>
      <c r="DH9">
        <v>831.763771</v>
      </c>
      <c r="DI9">
        <v>954.992586</v>
      </c>
      <c r="DJ9">
        <v>1096.478196</v>
      </c>
      <c r="DK9">
        <v>1258.925412</v>
      </c>
      <c r="DL9">
        <v>1445.439771</v>
      </c>
      <c r="DM9">
        <v>1659.586907</v>
      </c>
      <c r="DN9">
        <v>1905.460718</v>
      </c>
      <c r="DO9">
        <v>2187.761624</v>
      </c>
      <c r="DP9">
        <v>2511.886432</v>
      </c>
      <c r="DQ9">
        <v>2884.031503</v>
      </c>
      <c r="DR9">
        <v>3311.311215</v>
      </c>
      <c r="DS9">
        <v>3801.893963</v>
      </c>
      <c r="DT9">
        <v>4365.158322</v>
      </c>
      <c r="DU9">
        <v>5011.872336</v>
      </c>
      <c r="DV9">
        <v>5754.399373</v>
      </c>
      <c r="DW9">
        <v>6606.93448</v>
      </c>
      <c r="DX9">
        <v>7585.77575</v>
      </c>
      <c r="DY9">
        <v>8709.6359</v>
      </c>
      <c r="DZ9">
        <v>10000</v>
      </c>
    </row>
    <row r="10" ht="15" customHeight="1">
      <c r="A10" s="1" t="s">
        <v>47</v>
      </c>
      <c r="D10" t="s">
        <v>48</v>
      </c>
      <c r="E10" t="s">
        <v>33</v>
      </c>
      <c r="F10" t="s">
        <v>49</v>
      </c>
      <c r="G10" t="s">
        <v>50</v>
      </c>
      <c r="H10" t="s">
        <v>51</v>
      </c>
      <c r="I10">
        <v>1.5</v>
      </c>
      <c r="J10">
        <v>0.9</v>
      </c>
      <c r="K10" t="s">
        <v>37</v>
      </c>
      <c r="L10">
        <v>1.33</v>
      </c>
      <c r="M10" t="s">
        <v>38</v>
      </c>
      <c r="N10" t="s">
        <v>39</v>
      </c>
      <c r="O10">
        <v>0.1</v>
      </c>
      <c r="P10">
        <v>1000</v>
      </c>
      <c r="Q10" t="s">
        <v>40</v>
      </c>
      <c r="R10">
        <v>14.36</v>
      </c>
      <c r="S10">
        <v>1.518</v>
      </c>
      <c r="T10">
        <v>0.0135</v>
      </c>
      <c r="U10">
        <v>7.607</v>
      </c>
      <c r="V10" t="s">
        <v>41</v>
      </c>
      <c r="W10">
        <v>77.201</v>
      </c>
      <c r="X10">
        <v>2.54</v>
      </c>
      <c r="Y10">
        <v>0.877</v>
      </c>
      <c r="Z10">
        <v>6.841</v>
      </c>
      <c r="AA10">
        <v>2.806</v>
      </c>
      <c r="AB10">
        <v>26.243</v>
      </c>
      <c r="AC10">
        <v>202.429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0.009607</v>
      </c>
      <c r="BD10">
        <v>0.086627</v>
      </c>
      <c r="BE10">
        <v>0.21017</v>
      </c>
      <c r="BF10">
        <v>0.309788</v>
      </c>
      <c r="BG10">
        <v>0.392333</v>
      </c>
      <c r="BH10">
        <v>0.45777</v>
      </c>
      <c r="BI10">
        <v>0.504513</v>
      </c>
      <c r="BJ10">
        <v>0.541652</v>
      </c>
      <c r="BK10">
        <v>0.575933</v>
      </c>
      <c r="BL10">
        <v>0.617253</v>
      </c>
      <c r="BM10">
        <v>0.671426</v>
      </c>
      <c r="BN10">
        <v>0.742537</v>
      </c>
      <c r="BO10">
        <v>0.828225</v>
      </c>
      <c r="BP10">
        <v>0.924715</v>
      </c>
      <c r="BQ10">
        <v>1.025405</v>
      </c>
      <c r="BR10">
        <v>1.12639</v>
      </c>
      <c r="BS10">
        <v>1.225362</v>
      </c>
      <c r="BT10">
        <v>1.321907</v>
      </c>
      <c r="BU10">
        <v>1.417646</v>
      </c>
      <c r="BV10">
        <v>1.514793</v>
      </c>
      <c r="BW10">
        <v>1.618986</v>
      </c>
      <c r="BX10">
        <v>1.734735</v>
      </c>
      <c r="BY10">
        <v>1.870985</v>
      </c>
      <c r="BZ10">
        <v>2.031158</v>
      </c>
      <c r="CA10">
        <v>2.223172</v>
      </c>
      <c r="CB10">
        <v>2.441789</v>
      </c>
      <c r="CC10">
        <v>2.688579</v>
      </c>
      <c r="CD10">
        <v>2.945587</v>
      </c>
      <c r="CE10">
        <v>3.205625</v>
      </c>
      <c r="CF10">
        <v>3.444651</v>
      </c>
      <c r="CG10">
        <v>3.650981</v>
      </c>
      <c r="CH10">
        <v>3.805365</v>
      </c>
      <c r="CI10">
        <v>3.89924</v>
      </c>
      <c r="CJ10">
        <v>3.924894</v>
      </c>
      <c r="CK10">
        <v>3.881666</v>
      </c>
      <c r="CL10">
        <v>3.773881</v>
      </c>
      <c r="CM10">
        <v>3.610324</v>
      </c>
      <c r="CN10">
        <v>3.403762</v>
      </c>
      <c r="CO10">
        <v>3.168901</v>
      </c>
      <c r="CP10">
        <v>2.919184</v>
      </c>
      <c r="CQ10">
        <v>2.669991</v>
      </c>
      <c r="CR10">
        <v>2.428794</v>
      </c>
      <c r="CS10">
        <v>2.205343</v>
      </c>
      <c r="CT10">
        <v>1.997332</v>
      </c>
      <c r="CU10">
        <v>1.80813</v>
      </c>
      <c r="CV10">
        <v>1.631788</v>
      </c>
      <c r="CW10">
        <v>1.473393</v>
      </c>
      <c r="CX10">
        <v>1.330758</v>
      </c>
      <c r="CY10">
        <v>1.21201</v>
      </c>
      <c r="CZ10">
        <v>1.114841</v>
      </c>
      <c r="DA10">
        <v>1.040246</v>
      </c>
      <c r="DB10">
        <v>0.982648</v>
      </c>
      <c r="DC10">
        <v>0.937328</v>
      </c>
      <c r="DD10">
        <v>0.896416</v>
      </c>
      <c r="DE10">
        <v>0.853025</v>
      </c>
      <c r="DF10">
        <v>0.799145</v>
      </c>
      <c r="DG10">
        <v>0.7342</v>
      </c>
      <c r="DH10">
        <v>0.646733</v>
      </c>
      <c r="DI10">
        <v>0.490363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</row>
    <row r="11" ht="15" customHeight="1">
      <c r="A11" s="1" t="s">
        <v>47</v>
      </c>
      <c r="D11" t="s">
        <v>48</v>
      </c>
      <c r="E11" t="s">
        <v>33</v>
      </c>
      <c r="F11" t="s">
        <v>52</v>
      </c>
      <c r="G11" t="s">
        <v>53</v>
      </c>
      <c r="H11" t="s">
        <v>51</v>
      </c>
      <c r="I11">
        <v>1.5</v>
      </c>
      <c r="J11">
        <v>0.9</v>
      </c>
      <c r="K11" t="s">
        <v>37</v>
      </c>
      <c r="L11">
        <v>1.33</v>
      </c>
      <c r="M11" t="s">
        <v>38</v>
      </c>
      <c r="N11" t="s">
        <v>39</v>
      </c>
      <c r="O11">
        <v>0.1</v>
      </c>
      <c r="P11">
        <v>1000</v>
      </c>
      <c r="Q11" t="s">
        <v>40</v>
      </c>
      <c r="R11">
        <v>14.24</v>
      </c>
      <c r="S11">
        <v>1.511</v>
      </c>
      <c r="T11">
        <v>0.0135</v>
      </c>
      <c r="U11">
        <v>7.793</v>
      </c>
      <c r="V11" t="s">
        <v>41</v>
      </c>
      <c r="W11">
        <v>78.222</v>
      </c>
      <c r="X11">
        <v>2.57</v>
      </c>
      <c r="Y11">
        <v>0.871</v>
      </c>
      <c r="Z11">
        <v>6.888</v>
      </c>
      <c r="AA11">
        <v>2.834</v>
      </c>
      <c r="AB11">
        <v>26.283</v>
      </c>
      <c r="AC11">
        <v>207.657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0.009409</v>
      </c>
      <c r="BD11">
        <v>0.084962</v>
      </c>
      <c r="BE11">
        <v>0.207399</v>
      </c>
      <c r="BF11">
        <v>0.306065</v>
      </c>
      <c r="BG11">
        <v>0.387824</v>
      </c>
      <c r="BH11">
        <v>0.452648</v>
      </c>
      <c r="BI11">
        <v>0.498978</v>
      </c>
      <c r="BJ11">
        <v>0.535843</v>
      </c>
      <c r="BK11">
        <v>0.569946</v>
      </c>
      <c r="BL11">
        <v>0.61112</v>
      </c>
      <c r="BM11">
        <v>0.665138</v>
      </c>
      <c r="BN11">
        <v>0.736065</v>
      </c>
      <c r="BO11">
        <v>0.821553</v>
      </c>
      <c r="BP11">
        <v>0.917862</v>
      </c>
      <c r="BQ11">
        <v>1.018427</v>
      </c>
      <c r="BR11">
        <v>1.119372</v>
      </c>
      <c r="BS11">
        <v>1.218404</v>
      </c>
      <c r="BT11">
        <v>1.315129</v>
      </c>
      <c r="BU11">
        <v>1.411194</v>
      </c>
      <c r="BV11">
        <v>1.508848</v>
      </c>
      <c r="BW11">
        <v>1.613793</v>
      </c>
      <c r="BX11">
        <v>1.730588</v>
      </c>
      <c r="BY11">
        <v>1.868255</v>
      </c>
      <c r="BZ11">
        <v>2.030211</v>
      </c>
      <c r="CA11">
        <v>2.224394</v>
      </c>
      <c r="CB11">
        <v>2.44542</v>
      </c>
      <c r="CC11">
        <v>2.694782</v>
      </c>
      <c r="CD11">
        <v>2.954243</v>
      </c>
      <c r="CE11">
        <v>3.216426</v>
      </c>
      <c r="CF11">
        <v>3.456931</v>
      </c>
      <c r="CG11">
        <v>3.66378</v>
      </c>
      <c r="CH11">
        <v>3.817381</v>
      </c>
      <c r="CI11">
        <v>3.908881</v>
      </c>
      <c r="CJ11">
        <v>3.930471</v>
      </c>
      <c r="CK11">
        <v>3.881642</v>
      </c>
      <c r="CL11">
        <v>3.767409</v>
      </c>
      <c r="CM11">
        <v>3.597573</v>
      </c>
      <c r="CN11">
        <v>3.386007</v>
      </c>
      <c r="CO11">
        <v>3.148198</v>
      </c>
      <c r="CP11">
        <v>2.897817</v>
      </c>
      <c r="CQ11">
        <v>2.649925</v>
      </c>
      <c r="CR11">
        <v>2.411283</v>
      </c>
      <c r="CS11">
        <v>2.190652</v>
      </c>
      <c r="CT11">
        <v>1.984797</v>
      </c>
      <c r="CU11">
        <v>1.796323</v>
      </c>
      <c r="CV11">
        <v>1.619062</v>
      </c>
      <c r="CW11">
        <v>1.458629</v>
      </c>
      <c r="CX11">
        <v>1.314241</v>
      </c>
      <c r="CY11">
        <v>1.196325</v>
      </c>
      <c r="CZ11">
        <v>1.10509</v>
      </c>
      <c r="DA11">
        <v>1.042875</v>
      </c>
      <c r="DB11">
        <v>1.003656</v>
      </c>
      <c r="DC11">
        <v>0.978839</v>
      </c>
      <c r="DD11">
        <v>0.954713</v>
      </c>
      <c r="DE11">
        <v>0.917428</v>
      </c>
      <c r="DF11">
        <v>0.854718</v>
      </c>
      <c r="DG11">
        <v>0.767695</v>
      </c>
      <c r="DH11">
        <v>0.650367</v>
      </c>
      <c r="DI11">
        <v>0.472995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</row>
    <row r="12" ht="15" customHeight="1">
      <c r="A12" s="1" t="s">
        <v>47</v>
      </c>
      <c r="D12" t="s">
        <v>48</v>
      </c>
      <c r="E12" t="s">
        <v>33</v>
      </c>
      <c r="F12" t="s">
        <v>54</v>
      </c>
      <c r="G12" t="s">
        <v>55</v>
      </c>
      <c r="H12" t="s">
        <v>51</v>
      </c>
      <c r="I12">
        <v>1.5</v>
      </c>
      <c r="J12">
        <v>0.9</v>
      </c>
      <c r="K12" t="s">
        <v>37</v>
      </c>
      <c r="L12">
        <v>1.33</v>
      </c>
      <c r="M12" t="s">
        <v>38</v>
      </c>
      <c r="N12" t="s">
        <v>39</v>
      </c>
      <c r="O12">
        <v>0.1</v>
      </c>
      <c r="P12">
        <v>1000</v>
      </c>
      <c r="Q12" t="s">
        <v>40</v>
      </c>
      <c r="R12">
        <v>14.2</v>
      </c>
      <c r="S12">
        <v>1.496</v>
      </c>
      <c r="T12">
        <v>0.0136</v>
      </c>
      <c r="U12">
        <v>7.793</v>
      </c>
      <c r="V12" t="s">
        <v>41</v>
      </c>
      <c r="W12">
        <v>79.842</v>
      </c>
      <c r="X12">
        <v>2.59</v>
      </c>
      <c r="Y12">
        <v>0.859</v>
      </c>
      <c r="Z12">
        <v>6.982</v>
      </c>
      <c r="AA12">
        <v>2.882</v>
      </c>
      <c r="AB12">
        <v>26.727</v>
      </c>
      <c r="AC12">
        <v>211.18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0.009162</v>
      </c>
      <c r="BD12">
        <v>0.082834</v>
      </c>
      <c r="BE12">
        <v>0.203157</v>
      </c>
      <c r="BF12">
        <v>0.300089</v>
      </c>
      <c r="BG12">
        <v>0.380435</v>
      </c>
      <c r="BH12">
        <v>0.444191</v>
      </c>
      <c r="BI12">
        <v>0.489843</v>
      </c>
      <c r="BJ12">
        <v>0.526296</v>
      </c>
      <c r="BK12">
        <v>0.560151</v>
      </c>
      <c r="BL12">
        <v>0.60109</v>
      </c>
      <c r="BM12">
        <v>0.654773</v>
      </c>
      <c r="BN12">
        <v>0.725188</v>
      </c>
      <c r="BO12">
        <v>0.809991</v>
      </c>
      <c r="BP12">
        <v>0.905485</v>
      </c>
      <c r="BQ12">
        <v>1.005204</v>
      </c>
      <c r="BR12">
        <v>1.105353</v>
      </c>
      <c r="BS12">
        <v>1.203705</v>
      </c>
      <c r="BT12">
        <v>1.299894</v>
      </c>
      <c r="BU12">
        <v>1.395538</v>
      </c>
      <c r="BV12">
        <v>1.492817</v>
      </c>
      <c r="BW12">
        <v>1.597336</v>
      </c>
      <c r="BX12">
        <v>1.713583</v>
      </c>
      <c r="BY12">
        <v>1.850525</v>
      </c>
      <c r="BZ12">
        <v>2.011582</v>
      </c>
      <c r="CA12">
        <v>2.2047</v>
      </c>
      <c r="CB12">
        <v>2.424597</v>
      </c>
      <c r="CC12">
        <v>2.672854</v>
      </c>
      <c r="CD12">
        <v>2.931398</v>
      </c>
      <c r="CE12">
        <v>3.192932</v>
      </c>
      <c r="CF12">
        <v>3.43311</v>
      </c>
      <c r="CG12">
        <v>3.639907</v>
      </c>
      <c r="CH12">
        <v>3.793648</v>
      </c>
      <c r="CI12">
        <v>3.885398</v>
      </c>
      <c r="CJ12">
        <v>3.907305</v>
      </c>
      <c r="CK12">
        <v>3.858909</v>
      </c>
      <c r="CL12">
        <v>3.745404</v>
      </c>
      <c r="CM12">
        <v>3.576964</v>
      </c>
      <c r="CN12">
        <v>3.368097</v>
      </c>
      <c r="CO12">
        <v>3.135137</v>
      </c>
      <c r="CP12">
        <v>2.892658</v>
      </c>
      <c r="CQ12">
        <v>2.656223</v>
      </c>
      <c r="CR12">
        <v>2.432616</v>
      </c>
      <c r="CS12">
        <v>2.229302</v>
      </c>
      <c r="CT12">
        <v>2.041365</v>
      </c>
      <c r="CU12">
        <v>1.868418</v>
      </c>
      <c r="CV12">
        <v>1.701744</v>
      </c>
      <c r="CW12">
        <v>1.544017</v>
      </c>
      <c r="CX12">
        <v>1.392591</v>
      </c>
      <c r="CY12">
        <v>1.257804</v>
      </c>
      <c r="CZ12">
        <v>1.141442</v>
      </c>
      <c r="DA12">
        <v>1.051057</v>
      </c>
      <c r="DB12">
        <v>0.98645</v>
      </c>
      <c r="DC12">
        <v>0.945753</v>
      </c>
      <c r="DD12">
        <v>0.919234</v>
      </c>
      <c r="DE12">
        <v>0.89427</v>
      </c>
      <c r="DF12">
        <v>0.856286</v>
      </c>
      <c r="DG12">
        <v>0.79996</v>
      </c>
      <c r="DH12">
        <v>0.710689</v>
      </c>
      <c r="DI12">
        <v>0.539537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</row>
    <row r="13" ht="15" customHeight="1">
      <c r="A13" s="1" t="s">
        <v>56</v>
      </c>
      <c r="BC13">
        <f t="shared" si="1" ref="BC13:DI20">AVERAGE(BC10:BC12)</f>
        <v>0.009392666666666665</v>
      </c>
      <c r="BD13">
        <f t="shared" si="1"/>
        <v>0.08480766666666667</v>
      </c>
      <c r="BE13">
        <f t="shared" si="1"/>
        <v>0.20690866666666666</v>
      </c>
      <c r="BF13">
        <f t="shared" si="1"/>
        <v>0.30531400000000003</v>
      </c>
      <c r="BG13">
        <f t="shared" si="1"/>
        <v>0.38686400000000004</v>
      </c>
      <c r="BH13">
        <f t="shared" si="1"/>
        <v>0.4515363333333333</v>
      </c>
      <c r="BI13">
        <f t="shared" si="1"/>
        <v>0.497778</v>
      </c>
      <c r="BJ13">
        <f t="shared" si="1"/>
        <v>0.5345969999999999</v>
      </c>
      <c r="BK13">
        <f t="shared" si="1"/>
        <v>0.5686766666666666</v>
      </c>
      <c r="BL13">
        <f t="shared" si="1"/>
        <v>0.6098210000000001</v>
      </c>
      <c r="BM13">
        <f t="shared" si="1"/>
        <v>0.663779</v>
      </c>
      <c r="BN13">
        <f t="shared" si="1"/>
        <v>0.7345966666666667</v>
      </c>
      <c r="BO13">
        <f t="shared" si="1"/>
        <v>0.8199230000000001</v>
      </c>
      <c r="BP13">
        <f t="shared" si="1"/>
        <v>0.9160206666666667</v>
      </c>
      <c r="BQ13">
        <f t="shared" si="1"/>
        <v>1.0163453333333334</v>
      </c>
      <c r="BR13">
        <f t="shared" si="1"/>
        <v>1.1170383333333334</v>
      </c>
      <c r="BS13">
        <f t="shared" si="1"/>
        <v>1.2158236666666669</v>
      </c>
      <c r="BT13">
        <f t="shared" si="1"/>
        <v>1.31231</v>
      </c>
      <c r="BU13">
        <f t="shared" si="1"/>
        <v>1.408126</v>
      </c>
      <c r="BV13">
        <f t="shared" si="1"/>
        <v>1.505486</v>
      </c>
      <c r="BW13">
        <f t="shared" si="1"/>
        <v>1.6100383333333335</v>
      </c>
      <c r="BX13">
        <f t="shared" si="1"/>
        <v>1.7263019999999998</v>
      </c>
      <c r="BY13">
        <f t="shared" si="1"/>
        <v>1.8632549999999999</v>
      </c>
      <c r="BZ13">
        <f t="shared" si="1"/>
        <v>2.024317</v>
      </c>
      <c r="CA13">
        <f t="shared" si="1"/>
        <v>2.217422</v>
      </c>
      <c r="CB13">
        <f t="shared" si="1"/>
        <v>2.4372686666666667</v>
      </c>
      <c r="CC13">
        <f t="shared" si="1"/>
        <v>2.685405</v>
      </c>
      <c r="CD13">
        <f t="shared" si="1"/>
        <v>2.9437426666666666</v>
      </c>
      <c r="CE13">
        <f t="shared" si="1"/>
        <v>3.204994333333333</v>
      </c>
      <c r="CF13">
        <f t="shared" si="1"/>
        <v>3.4448973333333335</v>
      </c>
      <c r="CG13">
        <f t="shared" si="1"/>
        <v>3.651556</v>
      </c>
      <c r="CH13">
        <f t="shared" si="1"/>
        <v>3.805464666666667</v>
      </c>
      <c r="CI13">
        <f t="shared" si="1"/>
        <v>3.8978396666666666</v>
      </c>
      <c r="CJ13">
        <f t="shared" si="1"/>
        <v>3.92089</v>
      </c>
      <c r="CK13">
        <f t="shared" si="1"/>
        <v>3.874072333333334</v>
      </c>
      <c r="CL13">
        <f t="shared" si="1"/>
        <v>3.7622313333333337</v>
      </c>
      <c r="CM13">
        <f t="shared" si="1"/>
        <v>3.5949536666666666</v>
      </c>
      <c r="CN13">
        <f t="shared" si="1"/>
        <v>3.3859553333333334</v>
      </c>
      <c r="CO13">
        <f t="shared" si="1"/>
        <v>3.150745333333333</v>
      </c>
      <c r="CP13">
        <f t="shared" si="1"/>
        <v>2.9032196666666663</v>
      </c>
      <c r="CQ13">
        <f t="shared" si="1"/>
        <v>2.658713</v>
      </c>
      <c r="CR13">
        <f t="shared" si="1"/>
        <v>2.4242310000000002</v>
      </c>
      <c r="CS13">
        <f t="shared" si="1"/>
        <v>2.208432333333333</v>
      </c>
      <c r="CT13">
        <f t="shared" si="1"/>
        <v>2.0078313333333333</v>
      </c>
      <c r="CU13">
        <f t="shared" si="1"/>
        <v>1.8242903333333331</v>
      </c>
      <c r="CV13">
        <f t="shared" si="1"/>
        <v>1.6508646666666664</v>
      </c>
      <c r="CW13">
        <f t="shared" si="1"/>
        <v>1.492013</v>
      </c>
      <c r="CX13">
        <f t="shared" si="1"/>
        <v>1.3458633333333332</v>
      </c>
      <c r="CY13">
        <f t="shared" si="1"/>
        <v>1.2220463333333333</v>
      </c>
      <c r="CZ13">
        <f t="shared" si="1"/>
        <v>1.1204576666666666</v>
      </c>
      <c r="DA13">
        <f t="shared" si="1"/>
        <v>1.044726</v>
      </c>
      <c r="DB13">
        <f t="shared" si="1"/>
        <v>0.9909180000000001</v>
      </c>
      <c r="DC13">
        <f t="shared" si="1"/>
        <v>0.9539733333333333</v>
      </c>
      <c r="DD13">
        <f t="shared" si="1"/>
        <v>0.9234543333333334</v>
      </c>
      <c r="DE13">
        <f t="shared" si="1"/>
        <v>0.888241</v>
      </c>
      <c r="DF13">
        <f t="shared" si="1"/>
        <v>0.8367163333333333</v>
      </c>
      <c r="DG13">
        <f t="shared" si="1"/>
        <v>0.7672849999999999</v>
      </c>
      <c r="DH13">
        <f t="shared" si="1"/>
        <v>0.6692629999999999</v>
      </c>
      <c r="DI13">
        <f t="shared" si="1"/>
        <v>0.500965</v>
      </c>
    </row>
    <row r="15" ht="15" customHeight="1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7</v>
      </c>
      <c r="I15" t="s">
        <v>8</v>
      </c>
      <c r="J15" t="s">
        <v>9</v>
      </c>
      <c r="K15" t="s">
        <v>10</v>
      </c>
      <c r="L15" t="s">
        <v>11</v>
      </c>
      <c r="M15" t="s">
        <v>12</v>
      </c>
      <c r="N15" t="s">
        <v>13</v>
      </c>
      <c r="O15" t="s">
        <v>14</v>
      </c>
      <c r="P15" t="s">
        <v>15</v>
      </c>
      <c r="Q15" t="s">
        <v>16</v>
      </c>
      <c r="R15" t="s">
        <v>17</v>
      </c>
      <c r="S15" t="s">
        <v>18</v>
      </c>
      <c r="T15" t="s">
        <v>19</v>
      </c>
      <c r="U15" t="s">
        <v>20</v>
      </c>
      <c r="V15" t="s">
        <v>21</v>
      </c>
      <c r="W15" t="s">
        <v>22</v>
      </c>
      <c r="X15" t="s">
        <v>23</v>
      </c>
      <c r="Y15" t="s">
        <v>24</v>
      </c>
      <c r="Z15" t="s">
        <v>25</v>
      </c>
      <c r="AA15" t="s">
        <v>26</v>
      </c>
      <c r="AB15" t="s">
        <v>27</v>
      </c>
      <c r="AC15" t="s">
        <v>28</v>
      </c>
      <c r="AD15" t="s">
        <v>29</v>
      </c>
      <c r="EA15" t="s">
        <v>30</v>
      </c>
    </row>
    <row r="16" ht="15" customHeight="1">
      <c r="AD16">
        <v>0.01</v>
      </c>
      <c r="AE16">
        <v>0.011482</v>
      </c>
      <c r="AF16">
        <v>0.013183</v>
      </c>
      <c r="AG16">
        <v>0.015136</v>
      </c>
      <c r="AH16">
        <v>0.017378</v>
      </c>
      <c r="AI16">
        <v>0.019953</v>
      </c>
      <c r="AJ16">
        <v>0.022909</v>
      </c>
      <c r="AK16">
        <v>0.026303</v>
      </c>
      <c r="AL16">
        <v>0.0302</v>
      </c>
      <c r="AM16">
        <v>0.034674</v>
      </c>
      <c r="AN16">
        <v>0.039811</v>
      </c>
      <c r="AO16">
        <v>0.045709</v>
      </c>
      <c r="AP16">
        <v>0.052481</v>
      </c>
      <c r="AQ16">
        <v>0.060256</v>
      </c>
      <c r="AR16">
        <v>0.069183</v>
      </c>
      <c r="AS16">
        <v>0.079433</v>
      </c>
      <c r="AT16">
        <v>0.091201</v>
      </c>
      <c r="AU16">
        <v>0.104713</v>
      </c>
      <c r="AV16">
        <v>0.120226</v>
      </c>
      <c r="AW16">
        <v>0.138038</v>
      </c>
      <c r="AX16">
        <v>0.158489</v>
      </c>
      <c r="AY16">
        <v>0.18197</v>
      </c>
      <c r="AZ16">
        <v>0.20893</v>
      </c>
      <c r="BA16">
        <v>0.239883</v>
      </c>
      <c r="BB16">
        <v>0.275423</v>
      </c>
      <c r="BC16">
        <v>0.316228</v>
      </c>
      <c r="BD16">
        <v>0.363078</v>
      </c>
      <c r="BE16">
        <v>0.416869</v>
      </c>
      <c r="BF16">
        <v>0.47863</v>
      </c>
      <c r="BG16">
        <v>0.549541</v>
      </c>
      <c r="BH16">
        <v>0.630957</v>
      </c>
      <c r="BI16">
        <v>0.724436</v>
      </c>
      <c r="BJ16">
        <v>0.831764</v>
      </c>
      <c r="BK16">
        <v>0.954993</v>
      </c>
      <c r="BL16">
        <v>1.096478</v>
      </c>
      <c r="BM16">
        <v>1.258925</v>
      </c>
      <c r="BN16">
        <v>1.44544</v>
      </c>
      <c r="BO16">
        <v>1.659587</v>
      </c>
      <c r="BP16">
        <v>1.905461</v>
      </c>
      <c r="BQ16">
        <v>2.187762</v>
      </c>
      <c r="BR16">
        <v>2.511886</v>
      </c>
      <c r="BS16">
        <v>2.884031</v>
      </c>
      <c r="BT16">
        <v>3.311311</v>
      </c>
      <c r="BU16">
        <v>3.801894</v>
      </c>
      <c r="BV16">
        <v>4.365158</v>
      </c>
      <c r="BW16">
        <v>5.011872</v>
      </c>
      <c r="BX16">
        <v>5.754399</v>
      </c>
      <c r="BY16">
        <v>6.606934</v>
      </c>
      <c r="BZ16">
        <v>7.585776</v>
      </c>
      <c r="CA16">
        <v>8.709636</v>
      </c>
      <c r="CB16">
        <v>10</v>
      </c>
      <c r="CC16">
        <v>11.481536</v>
      </c>
      <c r="CD16">
        <v>13.182567</v>
      </c>
      <c r="CE16">
        <v>15.135612</v>
      </c>
      <c r="CF16">
        <v>17.378008</v>
      </c>
      <c r="CG16">
        <v>19.952623</v>
      </c>
      <c r="CH16">
        <v>22.908677</v>
      </c>
      <c r="CI16">
        <v>26.30268</v>
      </c>
      <c r="CJ16">
        <v>30.199517</v>
      </c>
      <c r="CK16">
        <v>34.673685</v>
      </c>
      <c r="CL16">
        <v>39.810717</v>
      </c>
      <c r="CM16">
        <v>45.708819</v>
      </c>
      <c r="CN16">
        <v>52.480746</v>
      </c>
      <c r="CO16">
        <v>60.255959</v>
      </c>
      <c r="CP16">
        <v>69.183097</v>
      </c>
      <c r="CQ16">
        <v>79.432823</v>
      </c>
      <c r="CR16">
        <v>91.201084</v>
      </c>
      <c r="CS16">
        <v>104.712855</v>
      </c>
      <c r="CT16">
        <v>120.226443</v>
      </c>
      <c r="CU16">
        <v>138.038426</v>
      </c>
      <c r="CV16">
        <v>158.489319</v>
      </c>
      <c r="CW16">
        <v>181.970086</v>
      </c>
      <c r="CX16">
        <v>208.929613</v>
      </c>
      <c r="CY16">
        <v>239.883292</v>
      </c>
      <c r="CZ16">
        <v>275.42287</v>
      </c>
      <c r="DA16">
        <v>316.227766</v>
      </c>
      <c r="DB16">
        <v>363.078055</v>
      </c>
      <c r="DC16">
        <v>416.869383</v>
      </c>
      <c r="DD16">
        <v>478.630092</v>
      </c>
      <c r="DE16">
        <v>549.540874</v>
      </c>
      <c r="DF16">
        <v>630.957344</v>
      </c>
      <c r="DG16">
        <v>724.43596</v>
      </c>
      <c r="DH16">
        <v>831.763771</v>
      </c>
      <c r="DI16">
        <v>954.992586</v>
      </c>
      <c r="DJ16">
        <v>1096.478196</v>
      </c>
      <c r="DK16">
        <v>1258.925412</v>
      </c>
      <c r="DL16">
        <v>1445.439771</v>
      </c>
      <c r="DM16">
        <v>1659.586907</v>
      </c>
      <c r="DN16">
        <v>1905.460718</v>
      </c>
      <c r="DO16">
        <v>2187.761624</v>
      </c>
      <c r="DP16">
        <v>2511.886432</v>
      </c>
      <c r="DQ16">
        <v>2884.031503</v>
      </c>
      <c r="DR16">
        <v>3311.311215</v>
      </c>
      <c r="DS16">
        <v>3801.893963</v>
      </c>
      <c r="DT16">
        <v>4365.158322</v>
      </c>
      <c r="DU16">
        <v>5011.872336</v>
      </c>
      <c r="DV16">
        <v>5754.399373</v>
      </c>
      <c r="DW16">
        <v>6606.93448</v>
      </c>
      <c r="DX16">
        <v>7585.77575</v>
      </c>
      <c r="DY16">
        <v>8709.6359</v>
      </c>
      <c r="DZ16">
        <v>10000</v>
      </c>
    </row>
    <row r="17" ht="15" customHeight="1">
      <c r="A17" s="1" t="s">
        <v>57</v>
      </c>
      <c r="D17" t="s">
        <v>32</v>
      </c>
      <c r="E17" t="s">
        <v>33</v>
      </c>
      <c r="F17" t="s">
        <v>58</v>
      </c>
      <c r="G17" t="s">
        <v>59</v>
      </c>
      <c r="H17" t="s">
        <v>36</v>
      </c>
      <c r="I17">
        <v>1.56</v>
      </c>
      <c r="J17">
        <v>0.1</v>
      </c>
      <c r="K17" t="s">
        <v>37</v>
      </c>
      <c r="L17">
        <v>1.33</v>
      </c>
      <c r="M17" t="s">
        <v>38</v>
      </c>
      <c r="N17" t="s">
        <v>39</v>
      </c>
      <c r="O17">
        <v>0.1</v>
      </c>
      <c r="P17">
        <v>1000</v>
      </c>
      <c r="Q17" t="s">
        <v>40</v>
      </c>
      <c r="R17">
        <v>10.22</v>
      </c>
      <c r="S17">
        <v>0.96</v>
      </c>
      <c r="T17">
        <v>0.0177</v>
      </c>
      <c r="U17">
        <v>3.096</v>
      </c>
      <c r="V17" t="s">
        <v>41</v>
      </c>
      <c r="W17">
        <v>84.245</v>
      </c>
      <c r="X17">
        <v>1.05</v>
      </c>
      <c r="Y17">
        <v>0.519</v>
      </c>
      <c r="Z17">
        <v>11.551</v>
      </c>
      <c r="AA17">
        <v>5.465</v>
      </c>
      <c r="AB17">
        <v>57.787</v>
      </c>
      <c r="AC17">
        <v>184.384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0.055088</v>
      </c>
      <c r="BG17">
        <v>0.182694</v>
      </c>
      <c r="BH17">
        <v>0.30917</v>
      </c>
      <c r="BI17">
        <v>0.383574</v>
      </c>
      <c r="BJ17">
        <v>0.429874</v>
      </c>
      <c r="BK17">
        <v>0.440354</v>
      </c>
      <c r="BL17">
        <v>0.431121</v>
      </c>
      <c r="BM17">
        <v>0.41733</v>
      </c>
      <c r="BN17">
        <v>0.415669</v>
      </c>
      <c r="BO17">
        <v>0.436657</v>
      </c>
      <c r="BP17">
        <v>0.481831</v>
      </c>
      <c r="BQ17">
        <v>0.544332</v>
      </c>
      <c r="BR17">
        <v>0.616118</v>
      </c>
      <c r="BS17">
        <v>0.691611</v>
      </c>
      <c r="BT17">
        <v>0.767444</v>
      </c>
      <c r="BU17">
        <v>0.84184</v>
      </c>
      <c r="BV17">
        <v>0.914084</v>
      </c>
      <c r="BW17">
        <v>0.98617</v>
      </c>
      <c r="BX17">
        <v>1.059237</v>
      </c>
      <c r="BY17">
        <v>1.137282</v>
      </c>
      <c r="BZ17">
        <v>1.221116</v>
      </c>
      <c r="CA17">
        <v>1.314472</v>
      </c>
      <c r="CB17">
        <v>1.415422</v>
      </c>
      <c r="CC17">
        <v>1.526632</v>
      </c>
      <c r="CD17">
        <v>1.643895</v>
      </c>
      <c r="CE17">
        <v>1.770993</v>
      </c>
      <c r="CF17">
        <v>1.907391</v>
      </c>
      <c r="CG17">
        <v>2.062957</v>
      </c>
      <c r="CH17">
        <v>2.24473</v>
      </c>
      <c r="CI17">
        <v>2.468368</v>
      </c>
      <c r="CJ17">
        <v>2.742771</v>
      </c>
      <c r="CK17">
        <v>3.078473</v>
      </c>
      <c r="CL17">
        <v>3.472081</v>
      </c>
      <c r="CM17">
        <v>3.911949</v>
      </c>
      <c r="CN17">
        <v>4.370037</v>
      </c>
      <c r="CO17">
        <v>4.804009</v>
      </c>
      <c r="CP17">
        <v>5.165769</v>
      </c>
      <c r="CQ17">
        <v>5.40129</v>
      </c>
      <c r="CR17">
        <v>5.470389</v>
      </c>
      <c r="CS17">
        <v>5.348223</v>
      </c>
      <c r="CT17">
        <v>5.032174</v>
      </c>
      <c r="CU17">
        <v>4.555092</v>
      </c>
      <c r="CV17">
        <v>3.952739</v>
      </c>
      <c r="CW17">
        <v>3.300469</v>
      </c>
      <c r="CX17">
        <v>2.638909</v>
      </c>
      <c r="CY17">
        <v>2.038236</v>
      </c>
      <c r="CZ17">
        <v>1.515433</v>
      </c>
      <c r="DA17">
        <v>1.101709</v>
      </c>
      <c r="DB17">
        <v>0.789126</v>
      </c>
      <c r="DC17">
        <v>0.572874</v>
      </c>
      <c r="DD17">
        <v>0.430594</v>
      </c>
      <c r="DE17">
        <v>0.340762</v>
      </c>
      <c r="DF17">
        <v>0.281023</v>
      </c>
      <c r="DG17">
        <v>0.235349</v>
      </c>
      <c r="DH17">
        <v>0.195081</v>
      </c>
      <c r="DI17">
        <v>0.137981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</row>
    <row r="18" ht="15" customHeight="1">
      <c r="A18" s="1" t="s">
        <v>57</v>
      </c>
      <c r="D18" t="s">
        <v>32</v>
      </c>
      <c r="E18" t="s">
        <v>33</v>
      </c>
      <c r="F18" t="s">
        <v>60</v>
      </c>
      <c r="G18" t="s">
        <v>61</v>
      </c>
      <c r="H18" t="s">
        <v>36</v>
      </c>
      <c r="I18">
        <v>1.56</v>
      </c>
      <c r="J18">
        <v>0.1</v>
      </c>
      <c r="K18" t="s">
        <v>37</v>
      </c>
      <c r="L18">
        <v>1.33</v>
      </c>
      <c r="M18" t="s">
        <v>38</v>
      </c>
      <c r="N18" t="s">
        <v>39</v>
      </c>
      <c r="O18">
        <v>0.1</v>
      </c>
      <c r="P18">
        <v>1000</v>
      </c>
      <c r="Q18" t="s">
        <v>40</v>
      </c>
      <c r="R18">
        <v>10.09</v>
      </c>
      <c r="S18">
        <v>0.952</v>
      </c>
      <c r="T18">
        <v>0.0178</v>
      </c>
      <c r="U18">
        <v>3.192</v>
      </c>
      <c r="V18" t="s">
        <v>41</v>
      </c>
      <c r="W18">
        <v>87.556</v>
      </c>
      <c r="X18">
        <v>1.1</v>
      </c>
      <c r="Y18">
        <v>0.504</v>
      </c>
      <c r="Z18">
        <v>11.9</v>
      </c>
      <c r="AA18">
        <v>5.611</v>
      </c>
      <c r="AB18">
        <v>58.06</v>
      </c>
      <c r="AC18">
        <v>190.955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0.166875</v>
      </c>
      <c r="BH18">
        <v>0.306539</v>
      </c>
      <c r="BI18">
        <v>0.371946</v>
      </c>
      <c r="BJ18">
        <v>0.420582</v>
      </c>
      <c r="BK18">
        <v>0.430027</v>
      </c>
      <c r="BL18">
        <v>0.421578</v>
      </c>
      <c r="BM18">
        <v>0.408351</v>
      </c>
      <c r="BN18">
        <v>0.407314</v>
      </c>
      <c r="BO18">
        <v>0.428647</v>
      </c>
      <c r="BP18">
        <v>0.473905</v>
      </c>
      <c r="BQ18">
        <v>0.536323</v>
      </c>
      <c r="BR18">
        <v>0.608005</v>
      </c>
      <c r="BS18">
        <v>0.68348</v>
      </c>
      <c r="BT18">
        <v>0.75945</v>
      </c>
      <c r="BU18">
        <v>0.834199</v>
      </c>
      <c r="BV18">
        <v>0.907045</v>
      </c>
      <c r="BW18">
        <v>0.979994</v>
      </c>
      <c r="BX18">
        <v>1.054149</v>
      </c>
      <c r="BY18">
        <v>1.133472</v>
      </c>
      <c r="BZ18">
        <v>1.218673</v>
      </c>
      <c r="CA18">
        <v>1.313422</v>
      </c>
      <c r="CB18">
        <v>1.415657</v>
      </c>
      <c r="CC18">
        <v>1.528003</v>
      </c>
      <c r="CD18">
        <v>1.64618</v>
      </c>
      <c r="CE18">
        <v>1.77403</v>
      </c>
      <c r="CF18">
        <v>1.911105</v>
      </c>
      <c r="CG18">
        <v>2.067453</v>
      </c>
      <c r="CH18">
        <v>2.250246</v>
      </c>
      <c r="CI18">
        <v>2.475166</v>
      </c>
      <c r="CJ18">
        <v>2.750846</v>
      </c>
      <c r="CK18">
        <v>3.08724</v>
      </c>
      <c r="CL18">
        <v>3.480051</v>
      </c>
      <c r="CM18">
        <v>3.916568</v>
      </c>
      <c r="CN18">
        <v>4.367793</v>
      </c>
      <c r="CO18">
        <v>4.790944</v>
      </c>
      <c r="CP18">
        <v>5.138243</v>
      </c>
      <c r="CQ18">
        <v>5.357097</v>
      </c>
      <c r="CR18">
        <v>5.409206</v>
      </c>
      <c r="CS18">
        <v>5.272482</v>
      </c>
      <c r="CT18">
        <v>4.946705</v>
      </c>
      <c r="CU18">
        <v>4.467295</v>
      </c>
      <c r="CV18">
        <v>3.871729</v>
      </c>
      <c r="CW18">
        <v>3.235703</v>
      </c>
      <c r="CX18">
        <v>2.599173</v>
      </c>
      <c r="CY18">
        <v>2.028505</v>
      </c>
      <c r="CZ18">
        <v>1.537219</v>
      </c>
      <c r="DA18">
        <v>1.151613</v>
      </c>
      <c r="DB18">
        <v>0.86155</v>
      </c>
      <c r="DC18">
        <v>0.660577</v>
      </c>
      <c r="DD18">
        <v>0.526572</v>
      </c>
      <c r="DE18">
        <v>0.438921</v>
      </c>
      <c r="DF18">
        <v>0.375949</v>
      </c>
      <c r="DG18">
        <v>0.32497</v>
      </c>
      <c r="DH18">
        <v>0.272465</v>
      </c>
      <c r="DI18">
        <v>0.198766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</row>
    <row r="19" ht="15" customHeight="1">
      <c r="A19" s="1" t="s">
        <v>57</v>
      </c>
      <c r="D19" t="s">
        <v>32</v>
      </c>
      <c r="E19" t="s">
        <v>33</v>
      </c>
      <c r="F19" t="s">
        <v>62</v>
      </c>
      <c r="G19" t="s">
        <v>63</v>
      </c>
      <c r="H19" t="s">
        <v>36</v>
      </c>
      <c r="I19">
        <v>1.56</v>
      </c>
      <c r="J19">
        <v>0.1</v>
      </c>
      <c r="K19" t="s">
        <v>37</v>
      </c>
      <c r="L19">
        <v>1.33</v>
      </c>
      <c r="M19" t="s">
        <v>38</v>
      </c>
      <c r="N19" t="s">
        <v>39</v>
      </c>
      <c r="O19">
        <v>0.1</v>
      </c>
      <c r="P19">
        <v>1000</v>
      </c>
      <c r="Q19" t="s">
        <v>40</v>
      </c>
      <c r="R19">
        <v>10.01</v>
      </c>
      <c r="S19">
        <v>0.941</v>
      </c>
      <c r="T19">
        <v>0.0179</v>
      </c>
      <c r="U19">
        <v>3.186</v>
      </c>
      <c r="V19" t="s">
        <v>41</v>
      </c>
      <c r="W19">
        <v>87.362</v>
      </c>
      <c r="X19">
        <v>1.08</v>
      </c>
      <c r="Y19">
        <v>0.497</v>
      </c>
      <c r="Z19">
        <v>12.072</v>
      </c>
      <c r="AA19">
        <v>5.718</v>
      </c>
      <c r="AB19">
        <v>58.603</v>
      </c>
      <c r="AC19">
        <v>192.428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0.16177</v>
      </c>
      <c r="BH19">
        <v>0.298411</v>
      </c>
      <c r="BI19">
        <v>0.362989</v>
      </c>
      <c r="BJ19">
        <v>0.410831</v>
      </c>
      <c r="BK19">
        <v>0.420408</v>
      </c>
      <c r="BL19">
        <v>0.412464</v>
      </c>
      <c r="BM19">
        <v>0.399934</v>
      </c>
      <c r="BN19">
        <v>0.399486</v>
      </c>
      <c r="BO19">
        <v>0.421132</v>
      </c>
      <c r="BP19">
        <v>0.466422</v>
      </c>
      <c r="BQ19">
        <v>0.528703</v>
      </c>
      <c r="BR19">
        <v>0.600188</v>
      </c>
      <c r="BS19">
        <v>0.67545</v>
      </c>
      <c r="BT19">
        <v>0.751208</v>
      </c>
      <c r="BU19">
        <v>0.825759</v>
      </c>
      <c r="BV19">
        <v>0.89842</v>
      </c>
      <c r="BW19">
        <v>0.971204</v>
      </c>
      <c r="BX19">
        <v>1.045248</v>
      </c>
      <c r="BY19">
        <v>1.124561</v>
      </c>
      <c r="BZ19">
        <v>1.209922</v>
      </c>
      <c r="CA19">
        <v>1.305089</v>
      </c>
      <c r="CB19">
        <v>1.408071</v>
      </c>
      <c r="CC19">
        <v>1.521577</v>
      </c>
      <c r="CD19">
        <v>1.641295</v>
      </c>
      <c r="CE19">
        <v>1.771011</v>
      </c>
      <c r="CF19">
        <v>1.909975</v>
      </c>
      <c r="CG19">
        <v>2.067836</v>
      </c>
      <c r="CH19">
        <v>2.251132</v>
      </c>
      <c r="CI19">
        <v>2.474858</v>
      </c>
      <c r="CJ19">
        <v>2.747044</v>
      </c>
      <c r="CK19">
        <v>3.077302</v>
      </c>
      <c r="CL19">
        <v>3.461632</v>
      </c>
      <c r="CM19">
        <v>3.888323</v>
      </c>
      <c r="CN19">
        <v>4.330219</v>
      </c>
      <c r="CO19">
        <v>4.746982</v>
      </c>
      <c r="CP19">
        <v>5.093348</v>
      </c>
      <c r="CQ19">
        <v>5.31876</v>
      </c>
      <c r="CR19">
        <v>5.38594</v>
      </c>
      <c r="CS19">
        <v>5.271796</v>
      </c>
      <c r="CT19">
        <v>4.973828</v>
      </c>
      <c r="CU19">
        <v>4.522651</v>
      </c>
      <c r="CV19">
        <v>3.95143</v>
      </c>
      <c r="CW19">
        <v>3.330787</v>
      </c>
      <c r="CX19">
        <v>2.698358</v>
      </c>
      <c r="CY19">
        <v>2.120327</v>
      </c>
      <c r="CZ19">
        <v>1.61284</v>
      </c>
      <c r="DA19">
        <v>1.206998</v>
      </c>
      <c r="DB19">
        <v>0.896409</v>
      </c>
      <c r="DC19">
        <v>0.677355</v>
      </c>
      <c r="DD19">
        <v>0.527539</v>
      </c>
      <c r="DE19">
        <v>0.425245</v>
      </c>
      <c r="DF19">
        <v>0.347883</v>
      </c>
      <c r="DG19">
        <v>0.282871</v>
      </c>
      <c r="DH19">
        <v>0.22041</v>
      </c>
      <c r="DI19">
        <v>0.14837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</row>
    <row r="20" ht="15" customHeight="1">
      <c r="A20" s="1" t="s">
        <v>64</v>
      </c>
      <c r="BF20">
        <f t="shared" si="1"/>
        <v>0.018362666666666666</v>
      </c>
      <c r="BG20">
        <f t="shared" si="1"/>
        <v>0.17044633333333334</v>
      </c>
      <c r="BH20">
        <f t="shared" si="1"/>
        <v>0.3047066666666667</v>
      </c>
      <c r="BI20">
        <f t="shared" si="1"/>
        <v>0.3728363333333333</v>
      </c>
      <c r="BJ20">
        <f t="shared" si="1"/>
        <v>0.420429</v>
      </c>
      <c r="BK20">
        <f t="shared" si="1"/>
        <v>0.43026300000000006</v>
      </c>
      <c r="BL20">
        <f t="shared" si="1"/>
        <v>0.421721</v>
      </c>
      <c r="BM20">
        <f t="shared" si="1"/>
        <v>0.4085383333333333</v>
      </c>
      <c r="BN20">
        <f t="shared" si="1"/>
        <v>0.4074896666666667</v>
      </c>
      <c r="BO20">
        <f t="shared" si="1"/>
        <v>0.428812</v>
      </c>
      <c r="BP20">
        <f t="shared" si="1"/>
        <v>0.4740526666666667</v>
      </c>
      <c r="BQ20">
        <f t="shared" si="1"/>
        <v>0.5364526666666668</v>
      </c>
      <c r="BR20">
        <f t="shared" si="1"/>
        <v>0.6081036666666667</v>
      </c>
      <c r="BS20">
        <f t="shared" si="1"/>
        <v>0.6835136666666667</v>
      </c>
      <c r="BT20">
        <f t="shared" si="1"/>
        <v>0.7593673333333334</v>
      </c>
      <c r="BU20">
        <f t="shared" si="1"/>
        <v>0.8339326666666667</v>
      </c>
      <c r="BV20">
        <f t="shared" si="1"/>
        <v>0.9065163333333333</v>
      </c>
      <c r="BW20">
        <f t="shared" si="1"/>
        <v>0.9791226666666667</v>
      </c>
      <c r="BX20">
        <f t="shared" si="1"/>
        <v>1.052878</v>
      </c>
      <c r="BY20">
        <f t="shared" si="1"/>
        <v>1.1317716666666666</v>
      </c>
      <c r="BZ20">
        <f t="shared" si="1"/>
        <v>1.2165703333333333</v>
      </c>
      <c r="CA20">
        <f t="shared" si="1"/>
        <v>1.3109943333333334</v>
      </c>
      <c r="CB20">
        <f t="shared" si="1"/>
        <v>1.4130500000000001</v>
      </c>
      <c r="CC20">
        <f t="shared" si="1"/>
        <v>1.525404</v>
      </c>
      <c r="CD20">
        <f t="shared" si="1"/>
        <v>1.6437899999999999</v>
      </c>
      <c r="CE20">
        <f t="shared" si="1"/>
        <v>1.7720113333333334</v>
      </c>
      <c r="CF20">
        <f t="shared" si="1"/>
        <v>1.9094903333333333</v>
      </c>
      <c r="CG20">
        <f t="shared" si="1"/>
        <v>2.0660819999999998</v>
      </c>
      <c r="CH20">
        <f t="shared" si="1"/>
        <v>2.248702666666667</v>
      </c>
      <c r="CI20">
        <f t="shared" si="1"/>
        <v>2.472797333333333</v>
      </c>
      <c r="CJ20">
        <f t="shared" si="1"/>
        <v>2.7468869999999996</v>
      </c>
      <c r="CK20">
        <f t="shared" si="1"/>
        <v>3.0810049999999998</v>
      </c>
      <c r="CL20">
        <f t="shared" si="1"/>
        <v>3.471254666666667</v>
      </c>
      <c r="CM20">
        <f t="shared" si="1"/>
        <v>3.905613333333333</v>
      </c>
      <c r="CN20">
        <f t="shared" si="1"/>
        <v>4.356016333333333</v>
      </c>
      <c r="CO20">
        <f t="shared" si="1"/>
        <v>4.780645</v>
      </c>
      <c r="CP20">
        <f t="shared" si="1"/>
        <v>5.132453333333333</v>
      </c>
      <c r="CQ20">
        <f t="shared" si="1"/>
        <v>5.359049</v>
      </c>
      <c r="CR20">
        <f t="shared" si="1"/>
        <v>5.421845</v>
      </c>
      <c r="CS20">
        <f t="shared" si="1"/>
        <v>5.297500333333334</v>
      </c>
      <c r="CT20">
        <f t="shared" si="1"/>
        <v>4.984235666666667</v>
      </c>
      <c r="CU20">
        <f t="shared" si="1"/>
        <v>4.515012666666666</v>
      </c>
      <c r="CV20">
        <f t="shared" si="1"/>
        <v>3.9252993333333333</v>
      </c>
      <c r="CW20">
        <f t="shared" si="1"/>
        <v>3.288986333333334</v>
      </c>
      <c r="CX20">
        <f t="shared" si="1"/>
        <v>2.64548</v>
      </c>
      <c r="CY20">
        <f t="shared" si="1"/>
        <v>2.062356</v>
      </c>
      <c r="CZ20">
        <f t="shared" si="1"/>
        <v>1.5551640000000002</v>
      </c>
      <c r="DA20">
        <f t="shared" si="1"/>
        <v>1.15344</v>
      </c>
      <c r="DB20">
        <f t="shared" si="1"/>
        <v>0.8490283333333334</v>
      </c>
      <c r="DC20">
        <f t="shared" si="1"/>
        <v>0.6369353333333333</v>
      </c>
      <c r="DD20">
        <f t="shared" si="1"/>
        <v>0.49490166666666663</v>
      </c>
      <c r="DE20">
        <f t="shared" si="1"/>
        <v>0.40164266666666665</v>
      </c>
      <c r="DF20">
        <f t="shared" si="1"/>
        <v>0.3349516666666667</v>
      </c>
      <c r="DG20">
        <f t="shared" si="1"/>
        <v>0.28106333333333333</v>
      </c>
      <c r="DH20">
        <f t="shared" si="1"/>
        <v>0.22931866666666667</v>
      </c>
      <c r="DI20">
        <f t="shared" si="1"/>
        <v>0.16170566666666666</v>
      </c>
    </row>
  </sheetData>
  <printOptions/>
  <pageMargins left="0.7" right="0.7" top="0.75" bottom="0.75" header="0.3" footer="0.3"/>
  <pageSetup paperSize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2026_SedStrat_MalvernData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Malvern_User</dc:creator>
  <cp:lastModifiedBy>Ethan Hoff</cp:lastModifiedBy>
  <dcterms:created xsi:type="dcterms:W3CDTF">2026-09-17T19:16:47Z</dcterms:created>
  <dcterms:modified xsi:type="dcterms:W3CDTF">2026-09-23T21:20:21Z</dcterms:modified>
</cp:coreProperties>
</file>